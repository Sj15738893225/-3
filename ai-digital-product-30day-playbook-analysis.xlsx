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结论摘要" sheetId="1" state="visible" r:id="rId1"/>
    <sheet xmlns:r="http://schemas.openxmlformats.org/officeDocument/2006/relationships" name="01_商业模式画布" sheetId="2" state="visible" r:id="rId2"/>
    <sheet xmlns:r="http://schemas.openxmlformats.org/officeDocument/2006/relationships" name="02_用户需求分析" sheetId="3" state="visible" r:id="rId3"/>
    <sheet xmlns:r="http://schemas.openxmlformats.org/officeDocument/2006/relationships" name="03_产品与价值主张" sheetId="4" state="visible" r:id="rId4"/>
    <sheet xmlns:r="http://schemas.openxmlformats.org/officeDocument/2006/relationships" name="04_选品评分矩阵" sheetId="5" state="visible" r:id="rId5"/>
    <sheet xmlns:r="http://schemas.openxmlformats.org/officeDocument/2006/relationships" name="05_产品组合与Offer阶梯" sheetId="6" state="visible" r:id="rId6"/>
    <sheet xmlns:r="http://schemas.openxmlformats.org/officeDocument/2006/relationships" name="06_定价与套餐" sheetId="7" state="visible" r:id="rId7"/>
    <sheet xmlns:r="http://schemas.openxmlformats.org/officeDocument/2006/relationships" name="07_单位经济模型" sheetId="8" state="visible" r:id="rId8"/>
    <sheet xmlns:r="http://schemas.openxmlformats.org/officeDocument/2006/relationships" name="08_三情景测算" sheetId="9" state="visible" r:id="rId9"/>
    <sheet xmlns:r="http://schemas.openxmlformats.org/officeDocument/2006/relationships" name="09_获客渠道与漏斗" sheetId="10" state="visible" r:id="rId10"/>
    <sheet xmlns:r="http://schemas.openxmlformats.org/officeDocument/2006/relationships" name="10_30天执行计划" sheetId="11" state="visible" r:id="rId11"/>
    <sheet xmlns:r="http://schemas.openxmlformats.org/officeDocument/2006/relationships" name="11_指标看板" sheetId="12" state="visible" r:id="rId12"/>
    <sheet xmlns:r="http://schemas.openxmlformats.org/officeDocument/2006/relationships" name="12_风险与合规审计" sheetId="13" state="visible" r:id="rId13"/>
    <sheet xmlns:r="http://schemas.openxmlformats.org/officeDocument/2006/relationships" name="13_原手册映射" sheetId="14" state="visible" r:id="rId14"/>
    <sheet xmlns:r="http://schemas.openxmlformats.org/officeDocument/2006/relationships" name="14_假设与数据来源" sheetId="15" state="visible" r:id="rId15"/>
  </sheets>
  <definedNames>
    <definedName name="_xlnm._FilterDatabase" localSheetId="0" hidden="1">'00_结论摘要'!$A$3:$D$9</definedName>
    <definedName name="_xlnm._FilterDatabase" localSheetId="1" hidden="1">'01_商业模式画布'!$A$3:$E$12</definedName>
    <definedName name="_xlnm._FilterDatabase" localSheetId="2" hidden="1">'02_用户需求分析'!$A$3:$G$9</definedName>
    <definedName name="_xlnm._FilterDatabase" localSheetId="3" hidden="1">'03_产品与价值主张'!$A$3:$H$8</definedName>
    <definedName name="_xlnm._FilterDatabase" localSheetId="4" hidden="1">'04_选品评分矩阵'!$A$15:$M$20</definedName>
    <definedName name="_xlnm._FilterDatabase" localSheetId="5" hidden="1">'05_产品组合与Offer阶梯'!$A$3:$G$9</definedName>
    <definedName name="_xlnm._FilterDatabase" localSheetId="6" hidden="1">'06_定价与套餐'!$A$3:$I$9</definedName>
    <definedName name="_xlnm._FilterDatabase" localSheetId="7" hidden="1">'07_单位经济模型'!$A$16:$C$34</definedName>
    <definedName name="_xlnm._FilterDatabase" localSheetId="8" hidden="1">'08_三情景测算'!$A$43:$D$46</definedName>
    <definedName name="_xlnm._FilterDatabase" localSheetId="9" hidden="1">'09_获客渠道与漏斗'!$A$10:$G$17</definedName>
    <definedName name="_xlnm._FilterDatabase" localSheetId="10" hidden="1">'10_30天执行计划'!$A$3:$J$34</definedName>
    <definedName name="_xlnm._FilterDatabase" localSheetId="11" hidden="1">'11_指标看板'!$A$17:$I$24</definedName>
    <definedName name="_xlnm._FilterDatabase" localSheetId="12" hidden="1">'12_风险与合规审计'!$A$17:$C$24</definedName>
    <definedName name="_xlnm._FilterDatabase" localSheetId="13" hidden="1">'13_原手册映射'!$A$3:$F$13</definedName>
    <definedName name="_xlnm._FilterDatabase" localSheetId="14" hidden="1">'14_假设与数据来源'!$A$3:$G$15</definedName>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0.0"/>
    <numFmt numFmtId="167" formatCode="¥0"/>
  </numFmts>
  <fonts count="5">
    <font>
      <name val="Calibri"/>
      <family val="2"/>
      <color theme="1"/>
      <sz val="11"/>
      <scheme val="minor"/>
    </font>
    <font>
      <b val="1"/>
      <color rgb="00FFFFFF"/>
      <sz val="18"/>
    </font>
    <font>
      <color rgb="005C6672"/>
      <sz val="10"/>
    </font>
    <font>
      <b val="1"/>
      <color rgb="00FFFFFF"/>
    </font>
    <font>
      <b val="1"/>
      <color rgb="001F4E78"/>
    </font>
  </fonts>
  <fills count="6">
    <fill>
      <patternFill/>
    </fill>
    <fill>
      <patternFill patternType="gray125"/>
    </fill>
    <fill>
      <patternFill patternType="solid">
        <fgColor rgb="001F4E78"/>
      </patternFill>
    </fill>
    <fill>
      <patternFill patternType="solid">
        <fgColor rgb="00FFF2CC"/>
      </patternFill>
    </fill>
    <fill>
      <patternFill patternType="solid">
        <fgColor rgb="00D9EAF7"/>
      </patternFill>
    </fill>
    <fill>
      <patternFill patternType="solid">
        <fgColor rgb="00EEF6FB"/>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3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3" fillId="2" borderId="0" pivotButton="0" quotePrefix="0" xfId="0"/>
    <xf numFmtId="0" fontId="0" fillId="0" borderId="1" applyAlignment="1" pivotButton="0" quotePrefix="0" xfId="0">
      <alignment vertical="top" wrapText="1"/>
    </xf>
    <xf numFmtId="0" fontId="0" fillId="3" borderId="1" applyAlignment="1" pivotButton="0" quotePrefix="0" xfId="0">
      <alignment horizontal="center"/>
    </xf>
    <xf numFmtId="2" fontId="0" fillId="4" borderId="0" pivotButton="0" quotePrefix="0" xfId="0"/>
    <xf numFmtId="0" fontId="0" fillId="4" borderId="0" pivotButton="0" quotePrefix="0" xfId="0"/>
    <xf numFmtId="164" fontId="0" fillId="0" borderId="1" applyAlignment="1" pivotButton="0" quotePrefix="0" xfId="0">
      <alignment vertical="top" wrapText="1"/>
    </xf>
    <xf numFmtId="165" fontId="0" fillId="4" borderId="1" applyAlignment="1" pivotButton="0" quotePrefix="0" xfId="0">
      <alignment vertical="top" wrapText="1"/>
    </xf>
    <xf numFmtId="1" fontId="0" fillId="3" borderId="1" applyAlignment="1" pivotButton="0" quotePrefix="0" xfId="0">
      <alignment vertical="top" wrapText="1"/>
    </xf>
    <xf numFmtId="165" fontId="0" fillId="3" borderId="1" applyAlignment="1" pivotButton="0" quotePrefix="0" xfId="0">
      <alignment vertical="top" wrapText="1"/>
    </xf>
    <xf numFmtId="164" fontId="0" fillId="3" borderId="1" applyAlignment="1" pivotButton="0" quotePrefix="0" xfId="0">
      <alignment vertical="top" wrapText="1"/>
    </xf>
    <xf numFmtId="2" fontId="0" fillId="3" borderId="1" applyAlignment="1" pivotButton="0" quotePrefix="0" xfId="0">
      <alignment vertical="top" wrapText="1"/>
    </xf>
    <xf numFmtId="2" fontId="0" fillId="4" borderId="1" applyAlignment="1" pivotButton="0" quotePrefix="0" xfId="0">
      <alignment vertical="top" wrapText="1"/>
    </xf>
    <xf numFmtId="164" fontId="0" fillId="4" borderId="1" applyAlignment="1" pivotButton="0" quotePrefix="0" xfId="0">
      <alignment vertical="top" wrapText="1"/>
    </xf>
    <xf numFmtId="0" fontId="4" fillId="5" borderId="0" applyAlignment="1" pivotButton="0" quotePrefix="0" xfId="0">
      <alignment vertical="center"/>
    </xf>
    <xf numFmtId="0" fontId="0" fillId="0" borderId="1" pivotButton="0" quotePrefix="0" xfId="0"/>
    <xf numFmtId="2" fontId="0" fillId="4" borderId="1" pivotButton="0" quotePrefix="0" xfId="0"/>
    <xf numFmtId="164" fontId="0" fillId="4" borderId="1" pivotButton="0" quotePrefix="0" xfId="0"/>
    <xf numFmtId="165" fontId="0" fillId="4" borderId="1" pivotButton="0" quotePrefix="0" xfId="0"/>
    <xf numFmtId="1" fontId="0" fillId="4" borderId="1" pivotButton="0" quotePrefix="0" xfId="0"/>
    <xf numFmtId="0" fontId="0" fillId="4" borderId="1" applyAlignment="1" pivotButton="0" quotePrefix="0" xfId="0">
      <alignment vertical="top" wrapText="1"/>
    </xf>
    <xf numFmtId="166" fontId="0" fillId="4" borderId="1" applyAlignment="1" pivotButton="0" quotePrefix="0" xfId="0">
      <alignment vertical="top" wrapText="1"/>
    </xf>
    <xf numFmtId="165" fontId="0" fillId="0" borderId="1" applyAlignment="1" pivotButton="0" quotePrefix="0" xfId="0">
      <alignment vertical="top" wrapText="1"/>
    </xf>
    <xf numFmtId="167" fontId="0" fillId="0" borderId="1" applyAlignment="1" pivotButton="0" quotePrefix="0" xfId="0">
      <alignment vertical="top" wrapText="1"/>
    </xf>
    <xf numFmtId="0" fontId="0" fillId="3" borderId="1" applyAlignment="1" pivotButton="0" quotePrefix="0" xfId="0">
      <alignment vertical="top" wrapText="1"/>
    </xf>
    <xf numFmtId="167" fontId="0" fillId="3" borderId="1" applyAlignment="1" pivotButton="0" quotePrefix="0" xfId="0">
      <alignment vertical="top" wrapText="1"/>
    </xf>
    <xf numFmtId="1" fontId="0" fillId="4" borderId="1" applyAlignment="1" pivotButton="0" quotePrefix="0" xfId="0">
      <alignment vertical="top" wrapText="1"/>
    </xf>
  </cellXfs>
  <cellStyles count="1">
    <cellStyle name="Normal" xfId="0" builtinId="0" hidden="0"/>
  </cellStyles>
  <dxfs count="4">
    <dxf>
      <fill>
        <patternFill patternType="solid">
          <fgColor rgb="00D9EAF7"/>
        </patternFill>
      </fill>
    </dxf>
    <dxf>
      <fill>
        <patternFill patternType="solid">
          <fgColor rgb="00E2F0D9"/>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三情景收入与利润</a:t>
            </a:r>
          </a:p>
        </rich>
      </tx>
    </title>
    <plotArea>
      <barChart>
        <barDir val="col"/>
        <grouping val="clustered"/>
        <ser>
          <idx val="0"/>
          <order val="0"/>
          <tx>
            <strRef>
              <f>'08_三情景测算'!B43</f>
            </strRef>
          </tx>
          <spPr>
            <a:ln xmlns:a="http://schemas.openxmlformats.org/drawingml/2006/main">
              <a:prstDash val="solid"/>
            </a:ln>
          </spPr>
          <cat>
            <numRef>
              <f>'08_三情景测算'!$A$44:$A$46</f>
            </numRef>
          </cat>
          <val>
            <numRef>
              <f>'08_三情景测算'!$B$44:$B$46</f>
            </numRef>
          </val>
        </ser>
        <ser>
          <idx val="1"/>
          <order val="1"/>
          <tx>
            <strRef>
              <f>'08_三情景测算'!C43</f>
            </strRef>
          </tx>
          <spPr>
            <a:ln xmlns:a="http://schemas.openxmlformats.org/drawingml/2006/main">
              <a:prstDash val="solid"/>
            </a:ln>
          </spPr>
          <cat>
            <numRef>
              <f>'08_三情景测算'!$A$44:$A$46</f>
            </numRef>
          </cat>
          <val>
            <numRef>
              <f>'08_三情景测算'!$C$44:$C$46</f>
            </numRef>
          </val>
        </ser>
        <ser>
          <idx val="2"/>
          <order val="2"/>
          <tx>
            <strRef>
              <f>'08_三情景测算'!D43</f>
            </strRef>
          </tx>
          <spPr>
            <a:ln xmlns:a="http://schemas.openxmlformats.org/drawingml/2006/main">
              <a:prstDash val="solid"/>
            </a:ln>
          </spPr>
          <cat>
            <numRef>
              <f>'08_三情景测算'!$A$44:$A$46</f>
            </numRef>
          </cat>
          <val>
            <numRef>
              <f>'08_三情景测算'!$D$44:$D$46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指标</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人民币</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基准获客漏斗</a:t>
            </a:r>
          </a:p>
        </rich>
      </tx>
    </title>
    <plotArea>
      <barChart>
        <barDir val="bar"/>
        <grouping val="clustered"/>
        <ser>
          <idx val="0"/>
          <order val="0"/>
          <spPr>
            <a:ln xmlns:a="http://schemas.openxmlformats.org/drawingml/2006/main">
              <a:prstDash val="solid"/>
            </a:ln>
          </spPr>
          <cat>
            <numRef>
              <f>'09_获客渠道与漏斗'!$A$4:$A$8</f>
            </numRef>
          </cat>
          <val>
            <numRef>
              <f>'09_获客渠道与漏斗'!$B$4:$B$8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7 日订单变化</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'11_指标看板'!$A$18:$A$24</f>
            </numRef>
          </cat>
          <val>
            <numRef>
              <f>'11_指标看板'!$E$18:$E$24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订单</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7</col>
      <colOff>0</colOff>
      <row>3</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9</col>
      <colOff>0</colOff>
      <row>3</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16</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_rels/sheet12.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F9"/>
  <sheetViews>
    <sheetView showGridLines="0" workbookViewId="0">
      <pane ySplit="3" topLeftCell="A4" activePane="bottomLeft" state="frozen"/>
      <selection pane="bottomLeft" activeCell="A1" sqref="A1"/>
    </sheetView>
  </sheetViews>
  <sheetFormatPr baseColWidth="8" defaultRowHeight="15"/>
  <cols>
    <col width="20" customWidth="1" min="1" max="1"/>
    <col width="24" customWidth="1" min="2" max="2"/>
    <col width="38" customWidth="1" min="3" max="3"/>
    <col width="38" customWidth="1" min="4" max="4"/>
    <col width="14" customWidth="1" min="5" max="5"/>
    <col width="18" customWidth="1" min="6" max="6"/>
  </cols>
  <sheetData>
    <row r="1" ht="32" customHeight="1">
      <c r="A1" s="1" t="inlineStr">
        <is>
          <t>00 结论摘要</t>
        </is>
      </c>
    </row>
    <row r="2" ht="30" customHeight="1">
      <c r="A2" s="2" t="inlineStr">
        <is>
          <t>一句话判断：值得用不超过 1000 元做 30 天验证，但当前更接近“低成本现金流试验”，还不是已证明可规模化的数字产品生意。</t>
        </is>
      </c>
    </row>
    <row r="3" ht="28" customHeight="1">
      <c r="A3" s="3" t="inlineStr">
        <is>
          <t>分析项</t>
        </is>
      </c>
      <c r="B3" s="3" t="inlineStr">
        <is>
          <t>判断</t>
        </is>
      </c>
      <c r="C3" s="3" t="inlineStr">
        <is>
          <t>依据/解释</t>
        </is>
      </c>
      <c r="D3" s="3" t="inlineStr">
        <is>
          <t>行动建议</t>
        </is>
      </c>
      <c r="F3" s="4" t="inlineStr">
        <is>
          <t>工作簿导航</t>
        </is>
      </c>
    </row>
    <row r="4">
      <c r="A4" s="5" t="inlineStr">
        <is>
          <t>核心结论</t>
        </is>
      </c>
      <c r="B4" s="5" t="inlineStr">
        <is>
          <t>值得做小规模验证</t>
        </is>
      </c>
      <c r="C4" s="5" t="inlineStr">
        <is>
          <t>原手册把选品、制作、上架、引流和逐日 SOP 打通，最大优势是启动成本和执行门槛低。</t>
        </is>
      </c>
      <c r="D4" s="5" t="inlineStr">
        <is>
          <t>先跑通 30 天，不以首月利润为目标。</t>
        </is>
      </c>
    </row>
    <row r="5">
      <c r="A5" s="5" t="inlineStr">
        <is>
          <t>最佳机会</t>
        </is>
      </c>
      <c r="B5" s="5" t="inlineStr">
        <is>
          <t>电商内容模板包 + 卫浴垂直 SOP/服务</t>
        </is>
      </c>
      <c r="C5" s="5" t="inlineStr">
        <is>
          <t>通用模板负责获客和首单，卫浴建材场景有行业经验壁垒，适合做高客单利润款。</t>
        </is>
      </c>
      <c r="D5" s="5" t="inlineStr">
        <is>
          <t>首发主推 SKU 1，同步准备 SKU 2 和 SKU 3。</t>
        </is>
      </c>
    </row>
    <row r="6">
      <c r="A6" s="5" t="inlineStr">
        <is>
          <t>主要风险</t>
        </is>
      </c>
      <c r="B6" s="5" t="inlineStr">
        <is>
          <t>流量不可控、交付范围失控、平台合规</t>
        </is>
      </c>
      <c r="C6" s="5" t="inlineStr">
        <is>
          <t>30 天目标只要求 3 单，说明转化仍是最大不确定项；低价代做容易吃掉时间。</t>
        </is>
      </c>
      <c r="D6" s="5" t="inlineStr">
        <is>
          <t>先卖标准品，只开有限修改次数，所有入口指向同一成交页。</t>
        </is>
      </c>
    </row>
    <row r="7">
      <c r="A7" s="5" t="inlineStr">
        <is>
          <t>商业模型</t>
        </is>
      </c>
      <c r="B7" s="5" t="inlineStr">
        <is>
          <t>内容获客 -&gt; 低价模板破冰 -&gt; 标准包/垂直 SOP 赚钱 -&gt; 代做和订阅复购</t>
        </is>
      </c>
      <c r="C7" s="5" t="inlineStr">
        <is>
          <t>数字产品边际成本低，但首月需要人工交付和大量内容测试。</t>
        </is>
      </c>
      <c r="D7" s="5" t="inlineStr">
        <is>
          <t>用贡献利润和回本周期判断是否加码，不只看订单数。</t>
        </is>
      </c>
    </row>
    <row r="8">
      <c r="A8" s="5" t="inlineStr">
        <is>
          <t>30 天成功标准</t>
        </is>
      </c>
      <c r="B8" s="5" t="inlineStr">
        <is>
          <t>30 条内容、20 次咨询、3 单成交、1 个订阅、明确有效内容主题</t>
        </is>
      </c>
      <c r="C8" s="5" t="inlineStr">
        <is>
          <t>与手册里程碑一致，且能把“流量”转成“真实付费行为”。</t>
        </is>
      </c>
      <c r="D8" s="5" t="inlineStr">
        <is>
          <t>若未达标，先用一对一诊断复聊 10 位高意向用户。</t>
        </is>
      </c>
    </row>
    <row r="9">
      <c r="A9" s="5" t="inlineStr">
        <is>
          <t>建议下一步</t>
        </is>
      </c>
      <c r="B9" s="5" t="inlineStr">
        <is>
          <t>先做 3 个动作：上架 9.9 元引流品、发布 3 条带钩子内容、主动私信 10 位目标客户</t>
        </is>
      </c>
      <c r="C9" s="5" t="inlineStr">
        <is>
          <t>这是最低成本获取真实反馈的路径。</t>
        </is>
      </c>
      <c r="D9" s="5" t="inlineStr">
        <is>
          <t>7 天内没有咨询，优先改标题、封面和钩子，不重做全套产品。</t>
        </is>
      </c>
    </row>
  </sheetData>
  <autoFilter ref="A3:D9"/>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18" customWidth="1" min="1" max="1"/>
    <col width="34" customWidth="1" min="2" max="2"/>
    <col width="34" customWidth="1" min="3" max="3"/>
    <col width="24" customWidth="1" min="4" max="4"/>
    <col width="14" customWidth="1" min="5" max="5"/>
  </cols>
  <sheetData>
    <row r="1" ht="32" customHeight="1">
      <c r="A1" s="1" t="inlineStr">
        <is>
          <t>01 商业模式画布</t>
        </is>
      </c>
    </row>
    <row r="2" ht="30" customHeight="1">
      <c r="A2" s="2" t="inlineStr">
        <is>
          <t>将手册中的商业模式显性化；重点看获客、付费、交付和复购能否形成闭环。</t>
        </is>
      </c>
    </row>
    <row r="3" ht="28" customHeight="1">
      <c r="A3" s="3" t="inlineStr">
        <is>
          <t>模块</t>
        </is>
      </c>
      <c r="B3" s="3" t="inlineStr">
        <is>
          <t>核心判断</t>
        </is>
      </c>
      <c r="C3" s="3" t="inlineStr">
        <is>
          <t>原手册依据/假设</t>
        </is>
      </c>
      <c r="D3" s="3" t="inlineStr">
        <is>
          <t>待验证项</t>
        </is>
      </c>
      <c r="E3" s="3" t="inlineStr">
        <is>
          <t>优先级</t>
        </is>
      </c>
    </row>
    <row r="4">
      <c r="A4" s="5" t="inlineStr">
        <is>
          <t>客户细分</t>
        </is>
      </c>
      <c r="B4" s="5" t="inlineStr">
        <is>
          <t>淘宝/拼多多/抖音店主、微商、实体店老板；卫浴/瓷砖/灯具/全屋定制门店与经销商。</t>
        </is>
      </c>
      <c r="C4" s="5" t="inlineStr">
        <is>
          <t>手册 SKU 1-3 的目标客户描述</t>
        </is>
      </c>
      <c r="D4" s="5" t="inlineStr">
        <is>
          <t>优先验证电商店主和卫浴门店老板</t>
        </is>
      </c>
      <c r="E4" s="5" t="inlineStr">
        <is>
          <t>高</t>
        </is>
      </c>
    </row>
    <row r="5">
      <c r="A5" s="5" t="inlineStr">
        <is>
          <t>客户任务</t>
        </is>
      </c>
      <c r="B5" s="5" t="inlineStr">
        <is>
          <t>快速产出可发布内容；降低文案试错；让门店持续获客；用 AI 提升运营效率。</t>
        </is>
      </c>
      <c r="C5" s="5" t="inlineStr">
        <is>
          <t>模块一与模块四</t>
        </is>
      </c>
      <c r="D5" s="5" t="inlineStr">
        <is>
          <t>访谈 10 位用户验证最高频任务</t>
        </is>
      </c>
      <c r="E5" s="5" t="inlineStr">
        <is>
          <t>高</t>
        </is>
      </c>
    </row>
    <row r="6">
      <c r="A6" s="5" t="inlineStr">
        <is>
          <t>痛点</t>
        </is>
      </c>
      <c r="B6" s="5" t="inlineStr">
        <is>
          <t>不会写、没时间写、请代运营贵、AI 工具有但不会用、担心没效果。</t>
        </is>
      </c>
      <c r="C6" s="5" t="inlineStr">
        <is>
          <t>候选商品与话术章节</t>
        </is>
      </c>
      <c r="D6" s="5" t="inlineStr">
        <is>
          <t>区分“学习需求”和“代做需求”</t>
        </is>
      </c>
      <c r="E6" s="5" t="inlineStr">
        <is>
          <t>高</t>
        </is>
      </c>
    </row>
    <row r="7">
      <c r="A7" s="5" t="inlineStr">
        <is>
          <t>价值主张</t>
        </is>
      </c>
      <c r="B7" s="5" t="inlineStr">
        <is>
          <t>拿模板就能用，先低价体验，再升级标准包、垂直 SOP 和代做服务。</t>
        </is>
      </c>
      <c r="C7" s="5" t="inlineStr">
        <is>
          <t>SKU 1-5 与 Offer 阶梯</t>
        </is>
      </c>
      <c r="D7" s="5" t="inlineStr">
        <is>
          <t>用首单结果验证价值是否足够具体</t>
        </is>
      </c>
      <c r="E7" s="5" t="inlineStr">
        <is>
          <t>高</t>
        </is>
      </c>
    </row>
    <row r="8">
      <c r="A8" s="5" t="inlineStr">
        <is>
          <t>渠道</t>
        </is>
      </c>
      <c r="B8" s="5" t="inlineStr">
        <is>
          <t>小红书内容与私信、朋友圈、面包多/爱发电成交、微信私域承接。</t>
        </is>
      </c>
      <c r="C8" s="5" t="inlineStr">
        <is>
          <t>模块三、四、七</t>
        </is>
      </c>
      <c r="D8" s="5" t="inlineStr">
        <is>
          <t>所有公开内容统一导流到微信或成交页</t>
        </is>
      </c>
      <c r="E8" s="5" t="inlineStr">
        <is>
          <t>高</t>
        </is>
      </c>
    </row>
    <row r="9">
      <c r="A9" s="5" t="inlineStr">
        <is>
          <t>收入来源</t>
        </is>
      </c>
      <c r="B9" s="5" t="inlineStr">
        <is>
          <t>9.9 元引流品、19.9-69 元模板包、99-199 元 SOP、69 元代做体验、29.9 元/月订阅、399-599 元运营包。</t>
        </is>
      </c>
      <c r="C9" s="5" t="inlineStr">
        <is>
          <t>模块一、三</t>
        </is>
      </c>
      <c r="D9" s="5" t="inlineStr">
        <is>
          <t>首月只主推 2 个 SKU，避免选择过载</t>
        </is>
      </c>
      <c r="E9" s="5" t="inlineStr">
        <is>
          <t>高</t>
        </is>
      </c>
    </row>
    <row r="10">
      <c r="A10" s="5" t="inlineStr">
        <is>
          <t>关键成本</t>
        </is>
      </c>
      <c r="B10" s="5" t="inlineStr">
        <is>
          <t>AI 工具、图片/字体版权、平台抽佣、营销测试、人工交付时间。</t>
        </is>
      </c>
      <c r="C10" s="5" t="inlineStr">
        <is>
          <t>模块八</t>
        </is>
      </c>
      <c r="D10" s="5" t="inlineStr">
        <is>
          <t>工具月成本控制在 300 元内</t>
        </is>
      </c>
      <c r="E10" s="5" t="inlineStr">
        <is>
          <t>中</t>
        </is>
      </c>
    </row>
    <row r="11">
      <c r="A11" s="5" t="inlineStr">
        <is>
          <t>关键资源</t>
        </is>
      </c>
      <c r="B11" s="5" t="inlineStr">
        <is>
          <t>行业经验、案例素材、提示词和模板化交付流程、稳定内容产能。</t>
        </is>
      </c>
      <c r="C11" s="5" t="inlineStr">
        <is>
          <t>卫浴 SOP 差异化说明</t>
        </is>
      </c>
      <c r="D11" s="5" t="inlineStr">
        <is>
          <t>先沉淀案例库和标准交付模板</t>
        </is>
      </c>
      <c r="E11" s="5" t="inlineStr">
        <is>
          <t>高</t>
        </is>
      </c>
    </row>
    <row r="12">
      <c r="A12" s="5" t="inlineStr">
        <is>
          <t>关键伙伴/平台</t>
        </is>
      </c>
      <c r="B12" s="5" t="inlineStr">
        <is>
          <t>DeepSeek/Kimi、飞书、Canva/稿定、面包多/爱发电、小红书、微信。</t>
        </is>
      </c>
      <c r="C12" s="5" t="inlineStr">
        <is>
          <t>模块八工具清单</t>
        </is>
      </c>
      <c r="D12" s="5" t="inlineStr">
        <is>
          <t>每个任务准备一个备用工具</t>
        </is>
      </c>
      <c r="E12" s="5" t="inlineStr">
        <is>
          <t>中</t>
        </is>
      </c>
    </row>
  </sheetData>
  <autoFilter ref="A3:E12"/>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showGridLines="0" workbookViewId="0">
      <pane ySplit="3" topLeftCell="A4" activePane="bottomLeft" state="frozen"/>
      <selection pane="bottomLeft" activeCell="A1" sqref="A1"/>
    </sheetView>
  </sheetViews>
  <sheetFormatPr baseColWidth="8" defaultRowHeight="15"/>
  <cols>
    <col width="18" customWidth="1" min="1" max="1"/>
    <col width="28" customWidth="1" min="2" max="2"/>
    <col width="28" customWidth="1" min="3" max="3"/>
    <col width="24" customWidth="1" min="4" max="4"/>
    <col width="22" customWidth="1" min="5" max="5"/>
    <col width="22" customWidth="1" min="6" max="6"/>
    <col width="16" customWidth="1" min="7" max="7"/>
  </cols>
  <sheetData>
    <row r="1" ht="32" customHeight="1">
      <c r="A1" s="1" t="inlineStr">
        <is>
          <t>02 用户需求分析</t>
        </is>
      </c>
    </row>
    <row r="2" ht="30" customHeight="1">
      <c r="A2" s="2" t="inlineStr">
        <is>
          <t>把“想用 AI”拆成可付费任务；优先服务那些现在就有发布/获客压力的人。</t>
        </is>
      </c>
    </row>
    <row r="3" ht="28" customHeight="1">
      <c r="A3" s="3" t="inlineStr">
        <is>
          <t>人群</t>
        </is>
      </c>
      <c r="B3" s="3" t="inlineStr">
        <is>
          <t>核心任务/JTBD</t>
        </is>
      </c>
      <c r="C3" s="3" t="inlineStr">
        <is>
          <t>痛点</t>
        </is>
      </c>
      <c r="D3" s="3" t="inlineStr">
        <is>
          <t>当前替代方案</t>
        </is>
      </c>
      <c r="E3" s="3" t="inlineStr">
        <is>
          <t>付费触发</t>
        </is>
      </c>
      <c r="F3" s="3" t="inlineStr">
        <is>
          <t>购买阻力</t>
        </is>
      </c>
      <c r="G3" s="3" t="inlineStr">
        <is>
          <t>优先级</t>
        </is>
      </c>
    </row>
    <row r="4">
      <c r="A4" s="5" t="inlineStr">
        <is>
          <t>电商/内容运营新手</t>
        </is>
      </c>
      <c r="B4" s="5" t="inlineStr">
        <is>
          <t>快速写主图、详情页、种草文并按时发布</t>
        </is>
      </c>
      <c r="C4" s="5" t="inlineStr">
        <is>
          <t>不会写、没时间写、反复改稿</t>
        </is>
      </c>
      <c r="D4" s="5" t="inlineStr">
        <is>
          <t>免费模板、通用 AI、外包</t>
        </is>
      </c>
      <c r="E4" s="5" t="inlineStr">
        <is>
          <t>看到可直接套用的样例</t>
        </is>
      </c>
      <c r="F4" s="5" t="inlineStr">
        <is>
          <t>担心结果模板化、不会用</t>
        </is>
      </c>
      <c r="G4" s="5" t="inlineStr">
        <is>
          <t>高</t>
        </is>
      </c>
    </row>
    <row r="5">
      <c r="A5" s="5" t="inlineStr">
        <is>
          <t>淘宝/拼多多/抖音店主</t>
        </is>
      </c>
      <c r="B5" s="5" t="inlineStr">
        <is>
          <t>用低成本内容带来咨询和成交</t>
        </is>
      </c>
      <c r="C5" s="5" t="inlineStr">
        <is>
          <t>内容产能低，投流成本高</t>
        </is>
      </c>
      <c r="D5" s="5" t="inlineStr">
        <is>
          <t>自己摸索、请兼职、代运营</t>
        </is>
      </c>
      <c r="E5" s="5" t="inlineStr">
        <is>
          <t>有行业案例和交付截图</t>
        </is>
      </c>
      <c r="F5" s="5" t="inlineStr">
        <is>
          <t>价格敏感、效果不确定</t>
        </is>
      </c>
      <c r="G5" s="5" t="inlineStr">
        <is>
          <t>高</t>
        </is>
      </c>
    </row>
    <row r="6">
      <c r="A6" s="5" t="inlineStr">
        <is>
          <t>卫浴/建材门店老板</t>
        </is>
      </c>
      <c r="B6" s="5" t="inlineStr">
        <is>
          <t>让本地客户看到案例并到店咨询</t>
        </is>
      </c>
      <c r="C6" s="5" t="inlineStr">
        <is>
          <t>缺摄影、缺选题、不会持续更新</t>
        </is>
      </c>
      <c r="D6" s="5" t="inlineStr">
        <is>
          <t>装修公司代做、员工随便发</t>
        </is>
      </c>
      <c r="E6" s="5" t="inlineStr">
        <is>
          <t>同行真实案例和 30 天日历</t>
        </is>
      </c>
      <c r="F6" s="5" t="inlineStr">
        <is>
          <t>不确定小红书是否适合本地</t>
        </is>
      </c>
      <c r="G6" s="5" t="inlineStr">
        <is>
          <t>高</t>
        </is>
      </c>
    </row>
    <row r="7">
      <c r="A7" s="5" t="inlineStr">
        <is>
          <t>经销商/渠道业务员</t>
        </is>
      </c>
      <c r="B7" s="5" t="inlineStr">
        <is>
          <t>给门店提供可复制运营支持</t>
        </is>
      </c>
      <c r="C7" s="5" t="inlineStr">
        <is>
          <t>需要批量赋能门店但缺工具</t>
        </is>
      </c>
      <c r="D7" s="5" t="inlineStr">
        <is>
          <t>品牌方物料、临时培训</t>
        </is>
      </c>
      <c r="E7" s="5" t="inlineStr">
        <is>
          <t>SOP 可复制、可培训</t>
        </is>
      </c>
      <c r="F7" s="5" t="inlineStr">
        <is>
          <t>内部落地执行力不足</t>
        </is>
      </c>
      <c r="G7" s="5" t="inlineStr">
        <is>
          <t>中</t>
        </is>
      </c>
    </row>
    <row r="8">
      <c r="A8" s="5" t="inlineStr">
        <is>
          <t>买过模板但不用的人</t>
        </is>
      </c>
      <c r="B8" s="5" t="inlineStr">
        <is>
          <t>直接拿到可发布成品</t>
        </is>
      </c>
      <c r="C8" s="5" t="inlineStr">
        <is>
          <t>模板买了不会套用</t>
        </is>
      </c>
      <c r="D8" s="5" t="inlineStr">
        <is>
          <t>继续买工具、找代写</t>
        </is>
      </c>
      <c r="E8" s="5" t="inlineStr">
        <is>
          <t>先体验 69 元小额代做</t>
        </is>
      </c>
      <c r="F8" s="5" t="inlineStr">
        <is>
          <t>担心交付慢和修改无穷</t>
        </is>
      </c>
      <c r="G8" s="5" t="inlineStr">
        <is>
          <t>中</t>
        </is>
      </c>
    </row>
    <row r="9">
      <c r="A9" s="5" t="inlineStr">
        <is>
          <t>想学 AI 的运营新人</t>
        </is>
      </c>
      <c r="B9" s="5" t="inlineStr">
        <is>
          <t>建立可复用的工作流</t>
        </is>
      </c>
      <c r="C9" s="5" t="inlineStr">
        <is>
          <t>信息碎片化、提示词质量不稳</t>
        </is>
      </c>
      <c r="D9" s="5" t="inlineStr">
        <is>
          <t>免费教程、社群、课程</t>
        </is>
      </c>
      <c r="E9" s="5" t="inlineStr">
        <is>
          <t>能解决具体工作问题</t>
        </is>
      </c>
      <c r="F9" s="5" t="inlineStr">
        <is>
          <t>只收藏不行动</t>
        </is>
      </c>
      <c r="G9" s="5" t="inlineStr">
        <is>
          <t>低</t>
        </is>
      </c>
    </row>
  </sheetData>
  <autoFilter ref="A3:G9"/>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pane ySplit="3" topLeftCell="A4" activePane="bottomLeft" state="frozen"/>
      <selection pane="bottomLeft" activeCell="A1" sqref="A1"/>
    </sheetView>
  </sheetViews>
  <sheetFormatPr baseColWidth="8" defaultRowHeight="15"/>
  <cols>
    <col width="12" customWidth="1" min="1" max="1"/>
    <col width="22" customWidth="1" min="2" max="2"/>
    <col width="32" customWidth="1" min="3" max="3"/>
    <col width="30" customWidth="1" min="4" max="4"/>
    <col width="22" customWidth="1" min="5" max="5"/>
    <col width="22" customWidth="1" min="6" max="6"/>
    <col width="14" customWidth="1" min="7" max="7"/>
    <col width="14" customWidth="1" min="8" max="8"/>
  </cols>
  <sheetData>
    <row r="1" ht="32" customHeight="1">
      <c r="A1" s="1" t="inlineStr">
        <is>
          <t>03 产品与价值主张</t>
        </is>
      </c>
    </row>
    <row r="2" ht="30" customHeight="1">
      <c r="A2" s="2" t="inlineStr">
        <is>
          <t>每个 SKU 都必须回答：谁买、买完能做什么、为什么买你的、交付边界是什么。</t>
        </is>
      </c>
    </row>
    <row r="3" ht="28" customHeight="1">
      <c r="A3" s="3" t="inlineStr">
        <is>
          <t>编号</t>
        </is>
      </c>
      <c r="B3" s="3" t="inlineStr">
        <is>
          <t>产品</t>
        </is>
      </c>
      <c r="C3" s="3" t="inlineStr">
        <is>
          <t>交付内容</t>
        </is>
      </c>
      <c r="D3" s="3" t="inlineStr">
        <is>
          <t>差异化</t>
        </is>
      </c>
      <c r="E3" s="3" t="inlineStr">
        <is>
          <t>适用客户</t>
        </is>
      </c>
      <c r="F3" s="3" t="inlineStr">
        <is>
          <t>不适用客户</t>
        </is>
      </c>
      <c r="G3" s="3" t="inlineStr">
        <is>
          <t>商业角色</t>
        </is>
      </c>
      <c r="H3" s="3" t="inlineStr">
        <is>
          <t>结论</t>
        </is>
      </c>
    </row>
    <row r="4">
      <c r="A4" s="5" t="inlineStr">
        <is>
          <t>SKU 1</t>
        </is>
      </c>
      <c r="B4" s="5" t="inlineStr">
        <is>
          <t>电商小红书种草文模板包</t>
        </is>
      </c>
      <c r="C4" s="5" t="inlineStr">
        <is>
          <t>30 个标题公式、5 篇笔记模板、话题标签、使用说明、季度更新</t>
        </is>
      </c>
      <c r="D4" s="5" t="inlineStr">
        <is>
          <t>电商卖家专用、飞书+PDF、版本化更新</t>
        </is>
      </c>
      <c r="E4" s="5" t="inlineStr">
        <is>
          <t>不会写但愿意自己发的店主</t>
        </is>
      </c>
      <c r="F4" s="5" t="inlineStr">
        <is>
          <t>只想代写、完全不愿动手的人</t>
        </is>
      </c>
      <c r="G4" s="5" t="inlineStr">
        <is>
          <t>引流+标准</t>
        </is>
      </c>
      <c r="H4" s="5" t="inlineStr">
        <is>
          <t>A</t>
        </is>
      </c>
    </row>
    <row r="5">
      <c r="A5" s="5" t="inlineStr">
        <is>
          <t>SKU 2</t>
        </is>
      </c>
      <c r="B5" s="5" t="inlineStr">
        <is>
          <t>电商主图/详情页提示词包</t>
        </is>
      </c>
      <c r="C5" s="5" t="inlineStr">
        <is>
          <t>主图卖点提示词、8 模块详情页提示词、2 个行业样例、违禁词检查清单</t>
        </is>
      </c>
      <c r="D5" s="5" t="inlineStr">
        <is>
          <t>填空式、配合样例、强调可用性</t>
        </is>
      </c>
      <c r="E5" s="5" t="inlineStr">
        <is>
          <t>有产品但不会提炼卖点的店主/运营</t>
        </is>
      </c>
      <c r="F5" s="5" t="inlineStr">
        <is>
          <t>无明确产品资料、期待自动成交的人</t>
        </is>
      </c>
      <c r="G5" s="5" t="inlineStr">
        <is>
          <t>主力利润</t>
        </is>
      </c>
      <c r="H5" s="5" t="inlineStr">
        <is>
          <t>A</t>
        </is>
      </c>
    </row>
    <row r="6">
      <c r="A6" s="5" t="inlineStr">
        <is>
          <t>SKU 3</t>
        </is>
      </c>
      <c r="B6" s="5" t="inlineStr">
        <is>
          <t>卫浴门店小红书运营 SOP</t>
        </is>
      </c>
      <c r="C6" s="5" t="inlineStr">
        <is>
          <t>30 天日历、20 选题、门店模板、评论话术、飞书表</t>
        </is>
      </c>
      <c r="D6" s="5" t="inlineStr">
        <is>
          <t>行业经验壁垒、真实门店场景</t>
        </is>
      </c>
      <c r="E6" s="5" t="inlineStr">
        <is>
          <t>卫浴/建材门店与经销商</t>
        </is>
      </c>
      <c r="F6" s="5" t="inlineStr">
        <is>
          <t>非建材场景、预算极低的纯学习者</t>
        </is>
      </c>
      <c r="G6" s="5" t="inlineStr">
        <is>
          <t>利润+差异化</t>
        </is>
      </c>
      <c r="H6" s="5" t="inlineStr">
        <is>
          <t>B+</t>
        </is>
      </c>
    </row>
    <row r="7">
      <c r="A7" s="5" t="inlineStr">
        <is>
          <t>SKU 4</t>
        </is>
      </c>
      <c r="B7" s="5" t="inlineStr">
        <is>
          <t>卫浴门店标题生成器</t>
        </is>
      </c>
      <c r="C7" s="5" t="inlineStr">
        <is>
          <t>50 个卫浴场景标题</t>
        </is>
      </c>
      <c r="D7" s="5" t="inlineStr">
        <is>
          <t>低价测试付款意愿和蓝海需求</t>
        </is>
      </c>
      <c r="E7" s="5" t="inlineStr">
        <is>
          <t>想低成本试水的小门店</t>
        </is>
      </c>
      <c r="F7" s="5" t="inlineStr">
        <is>
          <t>需要完整运营方案的人</t>
        </is>
      </c>
      <c r="G7" s="5" t="inlineStr">
        <is>
          <t>引流测试</t>
        </is>
      </c>
      <c r="H7" s="5" t="inlineStr">
        <is>
          <t>A-</t>
        </is>
      </c>
    </row>
    <row r="8">
      <c r="A8" s="5" t="inlineStr">
        <is>
          <t>SKU 5</t>
        </is>
      </c>
      <c r="B8" s="5" t="inlineStr">
        <is>
          <t>代做体验+月度订阅</t>
        </is>
      </c>
      <c r="C8" s="5" t="inlineStr">
        <is>
          <t>1 条种草文、1 条主图文案、模板、后续订阅</t>
        </is>
      </c>
      <c r="D8" s="5" t="inlineStr">
        <is>
          <t>先体验后订阅、48 小时交付、3 轮修改</t>
        </is>
      </c>
      <c r="E8" s="5" t="inlineStr">
        <is>
          <t>买过模板但不肯自己动手的店主</t>
        </is>
      </c>
      <c r="F8" s="5" t="inlineStr">
        <is>
          <t>要求不限量、频繁改稿的人</t>
        </is>
      </c>
      <c r="G8" s="5" t="inlineStr">
        <is>
          <t>复购后端</t>
        </is>
      </c>
      <c r="H8" s="5" t="inlineStr">
        <is>
          <t>B</t>
        </is>
      </c>
    </row>
  </sheetData>
  <autoFilter ref="A3:H8"/>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
  <sheetViews>
    <sheetView showGridLines="0" workbookViewId="0">
      <pane ySplit="14" topLeftCell="A15" activePane="bottomLeft" state="frozen"/>
      <selection pane="bottomLeft" activeCell="A1" sqref="A1"/>
    </sheetView>
  </sheetViews>
  <sheetFormatPr baseColWidth="8" defaultRowHeight="15"/>
  <cols>
    <col width="18" customWidth="1" min="1" max="1"/>
    <col width="10" customWidth="1" min="2" max="2"/>
    <col width="24" customWidth="1" min="3" max="3"/>
  </cols>
  <sheetData>
    <row r="1" ht="32" customHeight="1">
      <c r="A1" s="1" t="inlineStr">
        <is>
          <t>04 选品评分矩阵</t>
        </is>
      </c>
    </row>
    <row r="2" ht="30" customHeight="1">
      <c r="A2" s="2" t="inlineStr">
        <is>
          <t>在原手册四维打分基础上增加毛利、交付规模化、渠道匹配、壁垒、合规和复购维度；评分 1-5，权重合计 100%。</t>
        </is>
      </c>
    </row>
    <row r="3" ht="28" customHeight="1">
      <c r="A3" s="3" t="inlineStr">
        <is>
          <t>评分维度</t>
        </is>
      </c>
      <c r="B3" s="3" t="inlineStr">
        <is>
          <t>权重</t>
        </is>
      </c>
      <c r="C3" s="3" t="inlineStr">
        <is>
          <t>判断说明</t>
        </is>
      </c>
    </row>
    <row r="4">
      <c r="A4" s="5" t="inlineStr">
        <is>
          <t>需求强度</t>
        </is>
      </c>
      <c r="B4" s="5" t="n">
        <v>0.15</v>
      </c>
      <c r="C4" s="5" t="inlineStr">
        <is>
          <t>是否高频、强痛点、有明确使用场景</t>
        </is>
      </c>
    </row>
    <row r="5">
      <c r="A5" s="5" t="inlineStr">
        <is>
          <t>付费意愿</t>
        </is>
      </c>
      <c r="B5" s="5" t="n">
        <v>0.15</v>
      </c>
      <c r="C5" s="5" t="inlineStr">
        <is>
          <t>客户是否愿意为省时间和可直接使用付费</t>
        </is>
      </c>
    </row>
    <row r="6">
      <c r="A6" s="5" t="inlineStr">
        <is>
          <t>首单速度</t>
        </is>
      </c>
      <c r="B6" s="5" t="n">
        <v>0.15</v>
      </c>
      <c r="C6" s="5" t="inlineStr">
        <is>
          <t>能否在 30 天内完成破冰成交</t>
        </is>
      </c>
    </row>
    <row r="7">
      <c r="A7" s="5" t="inlineStr">
        <is>
          <t>毛利空间</t>
        </is>
      </c>
      <c r="B7" s="5" t="n">
        <v>0.1</v>
      </c>
      <c r="C7" s="5" t="inlineStr">
        <is>
          <t>扣平台费、履约和退款后是否仍有空间</t>
        </is>
      </c>
    </row>
    <row r="8">
      <c r="A8" s="5" t="inlineStr">
        <is>
          <t>交付规模化</t>
        </is>
      </c>
      <c r="B8" s="5" t="n">
        <v>0.1</v>
      </c>
      <c r="C8" s="5" t="inlineStr">
        <is>
          <t>是否能模板化、低人力重复交付</t>
        </is>
      </c>
    </row>
    <row r="9">
      <c r="A9" s="5" t="inlineStr">
        <is>
          <t>渠道匹配</t>
        </is>
      </c>
      <c r="B9" s="5" t="n">
        <v>0.1</v>
      </c>
      <c r="C9" s="5" t="inlineStr">
        <is>
          <t>是否适合小红书内容、私域和低预算冷启动</t>
        </is>
      </c>
    </row>
    <row r="10">
      <c r="A10" s="5" t="inlineStr">
        <is>
          <t>竞争区隔</t>
        </is>
      </c>
      <c r="B10" s="5" t="n">
        <v>0.1</v>
      </c>
      <c r="C10" s="5" t="inlineStr">
        <is>
          <t>是否有垂直经验、案例或结构化壁垒</t>
        </is>
      </c>
    </row>
    <row r="11">
      <c r="A11" s="5" t="inlineStr">
        <is>
          <t>合规安全性</t>
        </is>
      </c>
      <c r="B11" s="5" t="n">
        <v>0.05</v>
      </c>
      <c r="C11" s="5" t="inlineStr">
        <is>
          <t>版权、宣传、平台规则和退款风险是否可控</t>
        </is>
      </c>
    </row>
    <row r="12">
      <c r="A12" s="5" t="inlineStr">
        <is>
          <t>复购/升单</t>
        </is>
      </c>
      <c r="B12" s="5" t="n">
        <v>0.1</v>
      </c>
      <c r="C12" s="5" t="inlineStr">
        <is>
          <t>是否自然导向订阅、代做或更高客单服务</t>
        </is>
      </c>
    </row>
    <row r="15" ht="28" customHeight="1">
      <c r="A15" s="3" t="inlineStr">
        <is>
          <t>产品</t>
        </is>
      </c>
      <c r="B15" s="3" t="inlineStr">
        <is>
          <t>需求强度</t>
        </is>
      </c>
      <c r="C15" s="3" t="inlineStr">
        <is>
          <t>付费意愿</t>
        </is>
      </c>
      <c r="D15" s="3" t="inlineStr">
        <is>
          <t>首单速度</t>
        </is>
      </c>
      <c r="E15" s="3" t="inlineStr">
        <is>
          <t>毛利空间</t>
        </is>
      </c>
      <c r="F15" s="3" t="inlineStr">
        <is>
          <t>交付规模化</t>
        </is>
      </c>
      <c r="G15" s="3" t="inlineStr">
        <is>
          <t>渠道匹配</t>
        </is>
      </c>
      <c r="H15" s="3" t="inlineStr">
        <is>
          <t>竞争区隔</t>
        </is>
      </c>
      <c r="I15" s="3" t="inlineStr">
        <is>
          <t>合规安全性</t>
        </is>
      </c>
      <c r="J15" s="3" t="inlineStr">
        <is>
          <t>复购/升单</t>
        </is>
      </c>
      <c r="K15" s="3" t="inlineStr">
        <is>
          <t>加权总分</t>
        </is>
      </c>
      <c r="L15" s="3" t="inlineStr">
        <is>
          <t>等级</t>
        </is>
      </c>
      <c r="M15" s="3" t="inlineStr">
        <is>
          <t>结论</t>
        </is>
      </c>
    </row>
    <row r="16">
      <c r="A16" s="5" t="inlineStr">
        <is>
          <t>SKU 1 种草文模板包</t>
        </is>
      </c>
      <c r="B16" s="6" t="n">
        <v>4</v>
      </c>
      <c r="C16" s="6" t="n">
        <v>4</v>
      </c>
      <c r="D16" s="6" t="n">
        <v>5</v>
      </c>
      <c r="E16" s="6" t="n">
        <v>5</v>
      </c>
      <c r="F16" s="6" t="n">
        <v>5</v>
      </c>
      <c r="G16" s="6" t="n">
        <v>5</v>
      </c>
      <c r="H16" s="6" t="n">
        <v>3</v>
      </c>
      <c r="I16" s="6" t="n">
        <v>5</v>
      </c>
      <c r="J16" s="6" t="n">
        <v>3</v>
      </c>
      <c r="K16" s="7">
        <f>SUMPRODUCT(B16:J16,$B$4:$B$12)</f>
        <v/>
      </c>
      <c r="L16" s="8">
        <f>IF(K16&gt;=4,"A",IF(K16&gt;=3.2,"B","C"))</f>
        <v/>
      </c>
      <c r="M16" t="inlineStr">
        <is>
          <t>首批主推</t>
        </is>
      </c>
    </row>
    <row r="17">
      <c r="A17" s="5" t="inlineStr">
        <is>
          <t>SKU 2 主图详情提示词包</t>
        </is>
      </c>
      <c r="B17" s="6" t="n">
        <v>4</v>
      </c>
      <c r="C17" s="6" t="n">
        <v>4</v>
      </c>
      <c r="D17" s="6" t="n">
        <v>4</v>
      </c>
      <c r="E17" s="6" t="n">
        <v>5</v>
      </c>
      <c r="F17" s="6" t="n">
        <v>5</v>
      </c>
      <c r="G17" s="6" t="n">
        <v>4</v>
      </c>
      <c r="H17" s="6" t="n">
        <v>3</v>
      </c>
      <c r="I17" s="6" t="n">
        <v>5</v>
      </c>
      <c r="J17" s="6" t="n">
        <v>3</v>
      </c>
      <c r="K17" s="7">
        <f>SUMPRODUCT(B17:J17,$B$4:$B$12)</f>
        <v/>
      </c>
      <c r="L17" s="8">
        <f>IF(K17&gt;=4,"A",IF(K17&gt;=3.2,"B","C"))</f>
        <v/>
      </c>
      <c r="M17" t="inlineStr">
        <is>
          <t>同步准备</t>
        </is>
      </c>
    </row>
    <row r="18">
      <c r="A18" s="5" t="inlineStr">
        <is>
          <t>SKU 3 卫浴运营 SOP</t>
        </is>
      </c>
      <c r="B18" s="6" t="n">
        <v>3</v>
      </c>
      <c r="C18" s="6" t="n">
        <v>4</v>
      </c>
      <c r="D18" s="6" t="n">
        <v>2</v>
      </c>
      <c r="E18" s="6" t="n">
        <v>5</v>
      </c>
      <c r="F18" s="6" t="n">
        <v>3</v>
      </c>
      <c r="G18" s="6" t="n">
        <v>3</v>
      </c>
      <c r="H18" s="6" t="n">
        <v>5</v>
      </c>
      <c r="I18" s="6" t="n">
        <v>4</v>
      </c>
      <c r="J18" s="6" t="n">
        <v>5</v>
      </c>
      <c r="K18" s="7">
        <f>SUMPRODUCT(B18:J18,$B$4:$B$12)</f>
        <v/>
      </c>
      <c r="L18" s="8">
        <f>IF(K18&gt;=4,"A",IF(K18&gt;=3.2,"B","C"))</f>
        <v/>
      </c>
      <c r="M18" t="inlineStr">
        <is>
          <t>高价值后置</t>
        </is>
      </c>
    </row>
    <row r="19">
      <c r="A19" s="5" t="inlineStr">
        <is>
          <t>SKU 4 卫浴标题生成器</t>
        </is>
      </c>
      <c r="B19" s="6" t="n">
        <v>3</v>
      </c>
      <c r="C19" s="6" t="n">
        <v>3</v>
      </c>
      <c r="D19" s="6" t="n">
        <v>5</v>
      </c>
      <c r="E19" s="6" t="n">
        <v>5</v>
      </c>
      <c r="F19" s="6" t="n">
        <v>5</v>
      </c>
      <c r="G19" s="6" t="n">
        <v>5</v>
      </c>
      <c r="H19" s="6" t="n">
        <v>4</v>
      </c>
      <c r="I19" s="6" t="n">
        <v>5</v>
      </c>
      <c r="J19" s="6" t="n">
        <v>2</v>
      </c>
      <c r="K19" s="7">
        <f>SUMPRODUCT(B19:J19,$B$4:$B$12)</f>
        <v/>
      </c>
      <c r="L19" s="8">
        <f>IF(K19&gt;=4,"A",IF(K19&gt;=3.2,"B","C"))</f>
        <v/>
      </c>
      <c r="M19" t="inlineStr">
        <is>
          <t>引流测试</t>
        </is>
      </c>
    </row>
    <row r="20">
      <c r="A20" s="5" t="inlineStr">
        <is>
          <t>SKU 5 代做体验+订阅</t>
        </is>
      </c>
      <c r="B20" s="6" t="n">
        <v>4</v>
      </c>
      <c r="C20" s="6" t="n">
        <v>4</v>
      </c>
      <c r="D20" s="6" t="n">
        <v>2</v>
      </c>
      <c r="E20" s="6" t="n">
        <v>3</v>
      </c>
      <c r="F20" s="6" t="n">
        <v>2</v>
      </c>
      <c r="G20" s="6" t="n">
        <v>3</v>
      </c>
      <c r="H20" s="6" t="n">
        <v>4</v>
      </c>
      <c r="I20" s="6" t="n">
        <v>3</v>
      </c>
      <c r="J20" s="6" t="n">
        <v>5</v>
      </c>
      <c r="K20" s="7">
        <f>SUMPRODUCT(B20:J20,$B$4:$B$12)</f>
        <v/>
      </c>
      <c r="L20" s="8">
        <f>IF(K20&gt;=4,"A",IF(K20&gt;=3.2,"B","C"))</f>
        <v/>
      </c>
      <c r="M20" t="inlineStr">
        <is>
          <t>成交后测试</t>
        </is>
      </c>
    </row>
  </sheetData>
  <autoFilter ref="A15:M20"/>
  <mergeCells count="2">
    <mergeCell ref="A1:C1"/>
    <mergeCell ref="A2:C2"/>
  </mergeCells>
  <conditionalFormatting sqref="K16:K20">
    <cfRule type="colorScale" priority="1">
      <colorScale>
        <cfvo type="num" val="2.5"/>
        <cfvo type="num" val="3.5"/>
        <cfvo type="num" val="4.5"/>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22" customWidth="1" min="3" max="3"/>
    <col width="18" customWidth="1" min="4" max="4"/>
    <col width="26" customWidth="1" min="5" max="5"/>
    <col width="24" customWidth="1" min="6" max="6"/>
    <col width="26" customWidth="1" min="7" max="7"/>
  </cols>
  <sheetData>
    <row r="1" ht="32" customHeight="1">
      <c r="A1" s="1" t="inlineStr">
        <is>
          <t>05 产品组合与 Offer 阶梯</t>
        </is>
      </c>
    </row>
    <row r="2" ht="30" customHeight="1">
      <c r="A2" s="2" t="inlineStr">
        <is>
          <t>用低价品完成第一次付费，用标准品建立主营收入，用垂直 SOP 和服务拉高利润。</t>
        </is>
      </c>
    </row>
    <row r="3" ht="28" customHeight="1">
      <c r="A3" s="3" t="inlineStr">
        <is>
          <t>阶段</t>
        </is>
      </c>
      <c r="B3" s="3" t="inlineStr">
        <is>
          <t>产品</t>
        </is>
      </c>
      <c r="C3" s="3" t="inlineStr">
        <is>
          <t>形态</t>
        </is>
      </c>
      <c r="D3" s="3" t="inlineStr">
        <is>
          <t>价格</t>
        </is>
      </c>
      <c r="E3" s="3" t="inlineStr">
        <is>
          <t>商业目的</t>
        </is>
      </c>
      <c r="F3" s="3" t="inlineStr">
        <is>
          <t>升级动作</t>
        </is>
      </c>
      <c r="G3" s="3" t="inlineStr">
        <is>
          <t>成功标准</t>
        </is>
      </c>
    </row>
    <row r="4">
      <c r="A4" s="5" t="inlineStr">
        <is>
          <t>入口</t>
        </is>
      </c>
      <c r="B4" s="5" t="inlineStr">
        <is>
          <t>免费体验版</t>
        </is>
      </c>
      <c r="C4" s="5" t="inlineStr">
        <is>
          <t>10 个标题 + 1 篇模板</t>
        </is>
      </c>
      <c r="D4" s="5" t="inlineStr">
        <is>
          <t>0 元</t>
        </is>
      </c>
      <c r="E4" s="5" t="inlineStr">
        <is>
          <t>换微信/建立信任</t>
        </is>
      </c>
      <c r="F4" s="5" t="inlineStr">
        <is>
          <t>领取后 24 小时内跟进</t>
        </is>
      </c>
      <c r="G4" s="5" t="inlineStr">
        <is>
          <t>咨询率不低于 20%</t>
        </is>
      </c>
    </row>
    <row r="5">
      <c r="A5" s="5" t="inlineStr">
        <is>
          <t>破冰</t>
        </is>
      </c>
      <c r="B5" s="5" t="inlineStr">
        <is>
          <t>SKU 1 / SKU 4</t>
        </is>
      </c>
      <c r="C5" s="5" t="inlineStr">
        <is>
          <t>低价模板包</t>
        </is>
      </c>
      <c r="D5" s="5" t="inlineStr">
        <is>
          <t>9.9-19.9 元</t>
        </is>
      </c>
      <c r="E5" s="5" t="inlineStr">
        <is>
          <t>完成首单和付款动作</t>
        </is>
      </c>
      <c r="F5" s="5" t="inlineStr">
        <is>
          <t>成交后推标准包</t>
        </is>
      </c>
      <c r="G5" s="5" t="inlineStr">
        <is>
          <t>首月至少 3 单</t>
        </is>
      </c>
    </row>
    <row r="6">
      <c r="A6" s="5" t="inlineStr">
        <is>
          <t>主力</t>
        </is>
      </c>
      <c r="B6" s="5" t="inlineStr">
        <is>
          <t>SKU 1 / SKU 2</t>
        </is>
      </c>
      <c r="C6" s="5" t="inlineStr">
        <is>
          <t>完整模板与提示词包</t>
        </is>
      </c>
      <c r="D6" s="5" t="inlineStr">
        <is>
          <t>19.9-69 元</t>
        </is>
      </c>
      <c r="E6" s="5" t="inlineStr">
        <is>
          <t>贡献主要毛收入</t>
        </is>
      </c>
      <c r="F6" s="5" t="inlineStr">
        <is>
          <t>持续迭代版本</t>
        </is>
      </c>
      <c r="G6" s="5" t="inlineStr">
        <is>
          <t>至少 2 个 SKU 出单</t>
        </is>
      </c>
    </row>
    <row r="7">
      <c r="A7" s="5" t="inlineStr">
        <is>
          <t>利润</t>
        </is>
      </c>
      <c r="B7" s="5" t="inlineStr">
        <is>
          <t>SKU 3</t>
        </is>
      </c>
      <c r="C7" s="5" t="inlineStr">
        <is>
          <t>卫浴门店运营 SOP</t>
        </is>
      </c>
      <c r="D7" s="5" t="inlineStr">
        <is>
          <t>99-199 元</t>
        </is>
      </c>
      <c r="E7" s="5" t="inlineStr">
        <is>
          <t>利用行业经验赚利润</t>
        </is>
      </c>
      <c r="F7" s="5" t="inlineStr">
        <is>
          <t>可加 1 次答疑</t>
        </is>
      </c>
      <c r="G7" s="5" t="inlineStr">
        <is>
          <t>有 2 个精准客户即可上线</t>
        </is>
      </c>
    </row>
    <row r="8">
      <c r="A8" s="5" t="inlineStr">
        <is>
          <t>复购</t>
        </is>
      </c>
      <c r="B8" s="5" t="inlineStr">
        <is>
          <t>月度订阅</t>
        </is>
      </c>
      <c r="C8" s="5" t="inlineStr">
        <is>
          <t>每月更新场景包</t>
        </is>
      </c>
      <c r="D8" s="5" t="inlineStr">
        <is>
          <t>29.9 元/月</t>
        </is>
      </c>
      <c r="E8" s="5" t="inlineStr">
        <is>
          <t>提升 LTV</t>
        </is>
      </c>
      <c r="F8" s="5" t="inlineStr">
        <is>
          <t>达到 5 个付费用户后上线</t>
        </is>
      </c>
      <c r="G8" s="5" t="inlineStr">
        <is>
          <t>首月目标 1 个订阅</t>
        </is>
      </c>
    </row>
    <row r="9">
      <c r="A9" s="5" t="inlineStr">
        <is>
          <t>高客单</t>
        </is>
      </c>
      <c r="B9" s="5" t="inlineStr">
        <is>
          <t>代做/运营包</t>
        </is>
      </c>
      <c r="C9" s="5" t="inlineStr">
        <is>
          <t>定制交付或月度运营</t>
        </is>
      </c>
      <c r="D9" s="5" t="inlineStr">
        <is>
          <t>399-599 元</t>
        </is>
      </c>
      <c r="E9" s="5" t="inlineStr">
        <is>
          <t>验证服务上限</t>
        </is>
      </c>
      <c r="F9" s="5" t="inlineStr">
        <is>
          <t>订单稳定后再开放</t>
        </is>
      </c>
      <c r="G9" s="5" t="inlineStr">
        <is>
          <t>交付占时不超 40% 后评估</t>
        </is>
      </c>
    </row>
  </sheetData>
  <autoFilter ref="A3:G9"/>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0" customWidth="1" min="6" max="6"/>
    <col width="22" customWidth="1" min="7" max="7"/>
    <col width="18" customWidth="1" min="8" max="8"/>
    <col width="14" customWidth="1" min="9" max="9"/>
  </cols>
  <sheetData>
    <row r="1" ht="32" customHeight="1">
      <c r="A1" s="1" t="inlineStr">
        <is>
          <t>06 定价与套餐</t>
        </is>
      </c>
    </row>
    <row r="2" ht="30" customHeight="1">
      <c r="A2" s="2" t="inlineStr">
        <is>
          <t>价格不是越低越好；低价只用于破冰，标准包和垂直 SOP 承担利润。</t>
        </is>
      </c>
    </row>
    <row r="3" ht="28" customHeight="1">
      <c r="A3" s="3" t="inlineStr">
        <is>
          <t>套餐</t>
        </is>
      </c>
      <c r="B3" s="3" t="inlineStr">
        <is>
          <t>建议价</t>
        </is>
      </c>
      <c r="C3" s="3" t="inlineStr">
        <is>
          <t>最低可接受价</t>
        </is>
      </c>
      <c r="D3" s="3" t="inlineStr">
        <is>
          <t>直接履约成本</t>
        </is>
      </c>
      <c r="E3" s="3" t="inlineStr">
        <is>
          <t>平台费估算</t>
        </is>
      </c>
      <c r="F3" s="3" t="inlineStr">
        <is>
          <t>优惠策略</t>
        </is>
      </c>
      <c r="G3" s="3" t="inlineStr">
        <is>
          <t>退款/售后</t>
        </is>
      </c>
      <c r="H3" s="3" t="inlineStr">
        <is>
          <t>商业角色</t>
        </is>
      </c>
      <c r="I3" s="3" t="inlineStr">
        <is>
          <t>估算毛利率</t>
        </is>
      </c>
    </row>
    <row r="4">
      <c r="A4" s="5" t="inlineStr">
        <is>
          <t>SKU 1 引流版</t>
        </is>
      </c>
      <c r="B4" s="9" t="n">
        <v>9.9</v>
      </c>
      <c r="C4" s="9" t="n">
        <v>9.9</v>
      </c>
      <c r="D4" s="9" t="n">
        <v>0.5</v>
      </c>
      <c r="E4" s="9" t="n">
        <v>0.59</v>
      </c>
      <c r="F4" s="5" t="inlineStr">
        <is>
          <t>新人券/限时</t>
        </is>
      </c>
      <c r="G4" s="5" t="inlineStr">
        <is>
          <t>数字商品发货后不退款</t>
        </is>
      </c>
      <c r="H4" s="5" t="inlineStr">
        <is>
          <t>用于测试付款意愿</t>
        </is>
      </c>
      <c r="I4" s="10">
        <f>IF(B4=0,0,(B4-D4-E4)/B4)</f>
        <v/>
      </c>
    </row>
    <row r="5">
      <c r="A5" s="5" t="inlineStr">
        <is>
          <t>SKU 1 标准版</t>
        </is>
      </c>
      <c r="B5" s="9" t="n">
        <v>29.9</v>
      </c>
      <c r="C5" s="9" t="n">
        <v>19.9</v>
      </c>
      <c r="D5" s="9" t="n">
        <v>0.5</v>
      </c>
      <c r="E5" s="9" t="n">
        <v>1.79</v>
      </c>
      <c r="F5" s="5" t="inlineStr">
        <is>
          <t>限时 19.9</t>
        </is>
      </c>
      <c r="G5" s="5" t="inlineStr">
        <is>
          <t>内容问题 48 小时内处理</t>
        </is>
      </c>
      <c r="H5" s="5" t="inlineStr">
        <is>
          <t>主推破冰品</t>
        </is>
      </c>
      <c r="I5" s="10">
        <f>IF(B5=0,0,(B5-D5-E5)/B5)</f>
        <v/>
      </c>
    </row>
    <row r="6">
      <c r="A6" s="5" t="inlineStr">
        <is>
          <t>SKU 2 提示词包</t>
        </is>
      </c>
      <c r="B6" s="9" t="n">
        <v>49</v>
      </c>
      <c r="C6" s="9" t="n">
        <v>39.9</v>
      </c>
      <c r="D6" s="9" t="n">
        <v>0.5</v>
      </c>
      <c r="E6" s="9" t="n">
        <v>2.94</v>
      </c>
      <c r="F6" s="5" t="inlineStr">
        <is>
          <t>和 SKU 1 组合优惠</t>
        </is>
      </c>
      <c r="G6" s="5" t="inlineStr">
        <is>
          <t>数字商品发货后不退款</t>
        </is>
      </c>
      <c r="H6" s="5" t="inlineStr">
        <is>
          <t>主力利润品</t>
        </is>
      </c>
      <c r="I6" s="10">
        <f>IF(B6=0,0,(B6-D6-E6)/B6)</f>
        <v/>
      </c>
    </row>
    <row r="7">
      <c r="A7" s="5" t="inlineStr">
        <is>
          <t>SKU 3 卫浴 SOP</t>
        </is>
      </c>
      <c r="B7" s="9" t="n">
        <v>129</v>
      </c>
      <c r="C7" s="9" t="n">
        <v>99</v>
      </c>
      <c r="D7" s="9" t="n">
        <v>1</v>
      </c>
      <c r="E7" s="9" t="n">
        <v>7.74</v>
      </c>
      <c r="F7" s="5" t="inlineStr">
        <is>
          <t>前 10 名 99 元</t>
        </is>
      </c>
      <c r="G7" s="5" t="inlineStr">
        <is>
          <t>可含 1 次答疑</t>
        </is>
      </c>
      <c r="H7" s="5" t="inlineStr">
        <is>
          <t>垂直利润品</t>
        </is>
      </c>
      <c r="I7" s="10">
        <f>IF(B7=0,0,(B7-D7-E7)/B7)</f>
        <v/>
      </c>
    </row>
    <row r="8">
      <c r="A8" s="5" t="inlineStr">
        <is>
          <t>SKU 5 代做体验</t>
        </is>
      </c>
      <c r="B8" s="9" t="n">
        <v>69</v>
      </c>
      <c r="C8" s="9" t="n">
        <v>69</v>
      </c>
      <c r="D8" s="9" t="n">
        <v>25</v>
      </c>
      <c r="E8" s="9" t="n">
        <v>4.14</v>
      </c>
      <c r="F8" s="5" t="inlineStr">
        <is>
          <t>买模板包可抵扣 19.9</t>
        </is>
      </c>
      <c r="G8" s="5" t="inlineStr">
        <is>
          <t>48 小时交付，3 轮修改</t>
        </is>
      </c>
      <c r="H8" s="5" t="inlineStr">
        <is>
          <t>服务测试品</t>
        </is>
      </c>
      <c r="I8" s="10">
        <f>IF(B8=0,0,(B8-D8-E8)/B8)</f>
        <v/>
      </c>
    </row>
    <row r="9">
      <c r="A9" s="5" t="inlineStr">
        <is>
          <t>月度订阅</t>
        </is>
      </c>
      <c r="B9" s="9" t="n">
        <v>29.9</v>
      </c>
      <c r="C9" s="9" t="n">
        <v>29.9</v>
      </c>
      <c r="D9" s="9" t="n">
        <v>1</v>
      </c>
      <c r="E9" s="9" t="n">
        <v>1.79</v>
      </c>
      <c r="F9" s="5" t="inlineStr">
        <is>
          <t>首月体验价</t>
        </is>
      </c>
      <c r="G9" s="5" t="inlineStr">
        <is>
          <t>按月更新，不承诺销量</t>
        </is>
      </c>
      <c r="H9" s="5" t="inlineStr">
        <is>
          <t>复购产品</t>
        </is>
      </c>
      <c r="I9" s="10">
        <f>IF(B9=0,0,(B9-D9-E9)/B9)</f>
        <v/>
      </c>
    </row>
  </sheetData>
  <autoFilter ref="A3:I9"/>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showGridLines="0" workbookViewId="0">
      <pane ySplit="3" topLeftCell="A4" activePane="bottomLeft" state="frozen"/>
      <selection pane="bottomLeft" activeCell="A1" sqref="A1"/>
    </sheetView>
  </sheetViews>
  <sheetFormatPr baseColWidth="8" defaultRowHeight="15"/>
  <cols>
    <col width="28" customWidth="1" min="1" max="1"/>
    <col width="16" customWidth="1" min="2" max="2"/>
    <col width="14" customWidth="1" min="3" max="3"/>
    <col width="48" customWidth="1" min="4" max="4"/>
  </cols>
  <sheetData>
    <row r="1" ht="32" customHeight="1">
      <c r="A1" s="1" t="inlineStr">
        <is>
          <t>07 单位经济模型</t>
        </is>
      </c>
    </row>
    <row r="2" ht="30" customHeight="1">
      <c r="A2" s="2" t="inlineStr">
        <is>
          <t>黄色单元格为输入项，蓝色为公式输出；刷新后用实际数据替换默认假设。</t>
        </is>
      </c>
    </row>
    <row r="3" ht="28" customHeight="1">
      <c r="A3" s="3" t="inlineStr">
        <is>
          <t>输入项</t>
        </is>
      </c>
      <c r="B3" s="3" t="inlineStr">
        <is>
          <t>数值</t>
        </is>
      </c>
      <c r="C3" s="3" t="inlineStr">
        <is>
          <t>单位</t>
        </is>
      </c>
      <c r="D3" s="3" t="inlineStr">
        <is>
          <t>说明</t>
        </is>
      </c>
    </row>
    <row r="4">
      <c r="A4" s="5" t="inlineStr">
        <is>
          <t>月度曝光</t>
        </is>
      </c>
      <c r="B4" s="11" t="n">
        <v>3000</v>
      </c>
      <c r="C4" s="5" t="inlineStr">
        <is>
          <t>次</t>
        </is>
      </c>
      <c r="D4" s="5" t="inlineStr">
        <is>
          <t>小红书/公众号/朋友圈合计可触达内容曝光</t>
        </is>
      </c>
    </row>
    <row r="5">
      <c r="A5" s="5" t="inlineStr">
        <is>
          <t>主页点击率</t>
        </is>
      </c>
      <c r="B5" s="12" t="n">
        <v>0.08</v>
      </c>
      <c r="C5" s="5" t="inlineStr">
        <is>
          <t>%</t>
        </is>
      </c>
      <c r="D5" s="5" t="inlineStr">
        <is>
          <t>曝光后点击主页或内容的比例</t>
        </is>
      </c>
    </row>
    <row r="6">
      <c r="A6" s="5" t="inlineStr">
        <is>
          <t>咨询率</t>
        </is>
      </c>
      <c r="B6" s="12" t="n">
        <v>0.2</v>
      </c>
      <c r="C6" s="5" t="inlineStr">
        <is>
          <t>%</t>
        </is>
      </c>
      <c r="D6" s="5" t="inlineStr">
        <is>
          <t>主页点击后进入私信/咨询的比例</t>
        </is>
      </c>
    </row>
    <row r="7">
      <c r="A7" s="5" t="inlineStr">
        <is>
          <t>成交率</t>
        </is>
      </c>
      <c r="B7" s="12" t="n">
        <v>0.15</v>
      </c>
      <c r="C7" s="5" t="inlineStr">
        <is>
          <t>%</t>
        </is>
      </c>
      <c r="D7" s="5" t="inlineStr">
        <is>
          <t>咨询后完成付款的比例</t>
        </is>
      </c>
    </row>
    <row r="8">
      <c r="A8" s="5" t="inlineStr">
        <is>
          <t>平均客单价</t>
        </is>
      </c>
      <c r="B8" s="13" t="n">
        <v>29.9</v>
      </c>
      <c r="C8" s="5" t="inlineStr">
        <is>
          <t>元</t>
        </is>
      </c>
      <c r="D8" s="5" t="inlineStr">
        <is>
          <t>首月以低价破冰，后续可通过组合包提升</t>
        </is>
      </c>
    </row>
    <row r="9">
      <c r="A9" s="5" t="inlineStr">
        <is>
          <t>退款率</t>
        </is>
      </c>
      <c r="B9" s="12" t="n">
        <v>0.05</v>
      </c>
      <c r="C9" s="5" t="inlineStr">
        <is>
          <t>%</t>
        </is>
      </c>
      <c r="D9" s="5" t="inlineStr">
        <is>
          <t>数字商品与代做服务的综合退款比例</t>
        </is>
      </c>
    </row>
    <row r="10">
      <c r="A10" s="5" t="inlineStr">
        <is>
          <t>平台/支付费率</t>
        </is>
      </c>
      <c r="B10" s="12" t="n">
        <v>0.06</v>
      </c>
      <c r="C10" s="5" t="inlineStr">
        <is>
          <t>%</t>
        </is>
      </c>
      <c r="D10" s="5" t="inlineStr">
        <is>
          <t>按上架平台实际抽佣替换</t>
        </is>
      </c>
    </row>
    <row r="11">
      <c r="A11" s="5" t="inlineStr">
        <is>
          <t>单笔履约成本</t>
        </is>
      </c>
      <c r="B11" s="13" t="n">
        <v>0.5</v>
      </c>
      <c r="C11" s="5" t="inlineStr">
        <is>
          <t>元</t>
        </is>
      </c>
      <c r="D11" s="5" t="inlineStr">
        <is>
          <t>网盘、人工交付、素材等直接成本</t>
        </is>
      </c>
    </row>
    <row r="12">
      <c r="A12" s="5" t="inlineStr">
        <is>
          <t>月度营销费用</t>
        </is>
      </c>
      <c r="B12" s="11" t="n">
        <v>300</v>
      </c>
      <c r="C12" s="5" t="inlineStr">
        <is>
          <t>元</t>
        </is>
      </c>
      <c r="D12" s="5" t="inlineStr">
        <is>
          <t>首月控制在 300 元内</t>
        </is>
      </c>
    </row>
    <row r="13">
      <c r="A13" s="5" t="inlineStr">
        <is>
          <t>月度固定工具成本</t>
        </is>
      </c>
      <c r="B13" s="11" t="n">
        <v>200</v>
      </c>
      <c r="C13" s="5" t="inlineStr">
        <is>
          <t>元</t>
        </is>
      </c>
      <c r="D13" s="5" t="inlineStr">
        <is>
          <t>AI、图片、模板工具合计</t>
        </is>
      </c>
    </row>
    <row r="14">
      <c r="A14" s="5" t="inlineStr">
        <is>
          <t>复购系数</t>
        </is>
      </c>
      <c r="B14" s="14" t="n">
        <v>1.35</v>
      </c>
      <c r="C14" s="5" t="inlineStr">
        <is>
          <t>倍</t>
        </is>
      </c>
      <c r="D14" s="5" t="inlineStr">
        <is>
          <t>订阅、复购和升单对 LTV 的放大系数</t>
        </is>
      </c>
    </row>
    <row r="16" ht="28" customHeight="1">
      <c r="A16" s="3" t="inlineStr">
        <is>
          <t>输出项</t>
        </is>
      </c>
      <c r="B16" s="3" t="inlineStr">
        <is>
          <t>公式结果</t>
        </is>
      </c>
      <c r="C16" s="3" t="inlineStr">
        <is>
          <t>单位</t>
        </is>
      </c>
    </row>
    <row r="17">
      <c r="A17" s="5" t="inlineStr">
        <is>
          <t>主页点击</t>
        </is>
      </c>
      <c r="B17" s="15">
        <f>B4*B5</f>
        <v/>
      </c>
      <c r="C17" s="5" t="inlineStr">
        <is>
          <t>次</t>
        </is>
      </c>
    </row>
    <row r="18">
      <c r="A18" s="5" t="inlineStr">
        <is>
          <t>咨询数</t>
        </is>
      </c>
      <c r="B18" s="15">
        <f>B17*B6</f>
        <v/>
      </c>
      <c r="C18" s="5" t="inlineStr">
        <is>
          <t>人</t>
        </is>
      </c>
    </row>
    <row r="19">
      <c r="A19" s="5" t="inlineStr">
        <is>
          <t>订单数</t>
        </is>
      </c>
      <c r="B19" s="15">
        <f>B18*B7</f>
        <v/>
      </c>
      <c r="C19" s="5" t="inlineStr">
        <is>
          <t>单</t>
        </is>
      </c>
    </row>
    <row r="20">
      <c r="A20" s="5" t="inlineStr">
        <is>
          <t>毛收入</t>
        </is>
      </c>
      <c r="B20" s="16">
        <f>B19*B8</f>
        <v/>
      </c>
      <c r="C20" s="5" t="inlineStr">
        <is>
          <t>元</t>
        </is>
      </c>
    </row>
    <row r="21">
      <c r="A21" s="5" t="inlineStr">
        <is>
          <t>退款金额</t>
        </is>
      </c>
      <c r="B21" s="16">
        <f>B20*B9</f>
        <v/>
      </c>
      <c r="C21" s="5" t="inlineStr">
        <is>
          <t>元</t>
        </is>
      </c>
    </row>
    <row r="22">
      <c r="A22" s="5" t="inlineStr">
        <is>
          <t>净收入</t>
        </is>
      </c>
      <c r="B22" s="16">
        <f>B20-B21</f>
        <v/>
      </c>
      <c r="C22" s="5" t="inlineStr">
        <is>
          <t>元</t>
        </is>
      </c>
    </row>
    <row r="23">
      <c r="A23" s="5" t="inlineStr">
        <is>
          <t>平台/支付费</t>
        </is>
      </c>
      <c r="B23" s="16">
        <f>B22*B10</f>
        <v/>
      </c>
      <c r="C23" s="5" t="inlineStr">
        <is>
          <t>元</t>
        </is>
      </c>
    </row>
    <row r="24">
      <c r="A24" s="5" t="inlineStr">
        <is>
          <t>履约成本</t>
        </is>
      </c>
      <c r="B24" s="16">
        <f>B19*B11</f>
        <v/>
      </c>
      <c r="C24" s="5" t="inlineStr">
        <is>
          <t>元</t>
        </is>
      </c>
    </row>
    <row r="25">
      <c r="A25" s="5" t="inlineStr">
        <is>
          <t>贡献利润</t>
        </is>
      </c>
      <c r="B25" s="16">
        <f>B22-B23-B24</f>
        <v/>
      </c>
      <c r="C25" s="5" t="inlineStr">
        <is>
          <t>元</t>
        </is>
      </c>
    </row>
    <row r="26">
      <c r="A26" s="5" t="inlineStr">
        <is>
          <t>单笔贡献利润</t>
        </is>
      </c>
      <c r="B26" s="16">
        <f>IF(B19=0,0,B25/B19)</f>
        <v/>
      </c>
      <c r="C26" s="5" t="inlineStr">
        <is>
          <t>元</t>
        </is>
      </c>
    </row>
    <row r="27">
      <c r="A27" s="5" t="inlineStr">
        <is>
          <t>CAC</t>
        </is>
      </c>
      <c r="B27" s="16">
        <f>IF(B19=0,0,B12/B19)</f>
        <v/>
      </c>
      <c r="C27" s="5" t="inlineStr">
        <is>
          <t>元</t>
        </is>
      </c>
    </row>
    <row r="28">
      <c r="A28" s="5" t="inlineStr">
        <is>
          <t>毛利率</t>
        </is>
      </c>
      <c r="B28" s="10">
        <f>IF(B22=0,0,B25/B22)</f>
        <v/>
      </c>
      <c r="C28" s="5" t="inlineStr">
        <is>
          <t>%</t>
        </is>
      </c>
    </row>
    <row r="29">
      <c r="A29" s="5" t="inlineStr">
        <is>
          <t>LTV</t>
        </is>
      </c>
      <c r="B29" s="16">
        <f>B26*B14</f>
        <v/>
      </c>
      <c r="C29" s="5" t="inlineStr">
        <is>
          <t>元</t>
        </is>
      </c>
    </row>
    <row r="30">
      <c r="A30" s="5" t="inlineStr">
        <is>
          <t>LTV/CAC</t>
        </is>
      </c>
      <c r="B30" s="15">
        <f>IF(B27=0,0,B29/B27)</f>
        <v/>
      </c>
      <c r="C30" s="5" t="inlineStr">
        <is>
          <t>倍</t>
        </is>
      </c>
    </row>
    <row r="31">
      <c r="A31" s="5" t="inlineStr">
        <is>
          <t>固定成本回本订单</t>
        </is>
      </c>
      <c r="B31" s="15">
        <f>IF(B26=0,0,CEILING(B13/B26,1))</f>
        <v/>
      </c>
      <c r="C31" s="5" t="inlineStr">
        <is>
          <t>单</t>
        </is>
      </c>
    </row>
    <row r="32">
      <c r="A32" s="5" t="inlineStr">
        <is>
          <t>盈亏平衡订单</t>
        </is>
      </c>
      <c r="B32" s="15">
        <f>IF(B26=0,0,CEILING((B12+B13)/B26,1))</f>
        <v/>
      </c>
      <c r="C32" s="5" t="inlineStr">
        <is>
          <t>单</t>
        </is>
      </c>
    </row>
    <row r="33">
      <c r="A33" s="5" t="inlineStr">
        <is>
          <t>月经营利润</t>
        </is>
      </c>
      <c r="B33" s="16">
        <f>B25-B12-B13</f>
        <v/>
      </c>
      <c r="C33" s="5" t="inlineStr">
        <is>
          <t>元</t>
        </is>
      </c>
    </row>
    <row r="34">
      <c r="A34" s="5" t="inlineStr">
        <is>
          <t>月经营利润率</t>
        </is>
      </c>
      <c r="B34" s="10">
        <f>IF(B22=0,0,B33/B22)</f>
        <v/>
      </c>
      <c r="C34" s="5" t="inlineStr">
        <is>
          <t>%</t>
        </is>
      </c>
    </row>
  </sheetData>
  <autoFilter ref="A16:C34"/>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6"/>
  <sheetViews>
    <sheetView showGridLines="0" workbookViewId="0">
      <pane ySplit="3" topLeftCell="A4"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6" customWidth="1" min="6" max="6"/>
  </cols>
  <sheetData>
    <row r="1" ht="32" customHeight="1">
      <c r="A1" s="1" t="inlineStr">
        <is>
          <t>08 三情景测算</t>
        </is>
      </c>
    </row>
    <row r="2" ht="30" customHeight="1">
      <c r="A2" s="2" t="inlineStr">
        <is>
          <t>保守、基准、进取三套参数；本表所有结果由公式计算，修改输入即可联动。</t>
        </is>
      </c>
    </row>
    <row r="3" ht="28" customHeight="1">
      <c r="A3" s="3" t="inlineStr">
        <is>
          <t>输入项</t>
        </is>
      </c>
      <c r="B3" s="3" t="inlineStr">
        <is>
          <t>保守</t>
        </is>
      </c>
      <c r="C3" s="3" t="inlineStr">
        <is>
          <t>基准</t>
        </is>
      </c>
      <c r="D3" s="3" t="inlineStr">
        <is>
          <t>进取</t>
        </is>
      </c>
      <c r="E3" s="3" t="inlineStr">
        <is>
          <t>单位</t>
        </is>
      </c>
    </row>
    <row r="4">
      <c r="A4" s="5" t="inlineStr">
        <is>
          <t>月度曝光</t>
        </is>
      </c>
      <c r="B4" s="11" t="n">
        <v>1500</v>
      </c>
      <c r="C4" s="11" t="n">
        <v>3000</v>
      </c>
      <c r="D4" s="11" t="n">
        <v>6000</v>
      </c>
      <c r="E4" s="5" t="inlineStr">
        <is>
          <t>次</t>
        </is>
      </c>
    </row>
    <row r="5">
      <c r="A5" s="5" t="inlineStr">
        <is>
          <t>主页点击率</t>
        </is>
      </c>
      <c r="B5" s="12" t="n">
        <v>0.04</v>
      </c>
      <c r="C5" s="12" t="n">
        <v>0.08</v>
      </c>
      <c r="D5" s="12" t="n">
        <v>0.12</v>
      </c>
      <c r="E5" s="5" t="inlineStr">
        <is>
          <t>%</t>
        </is>
      </c>
    </row>
    <row r="6">
      <c r="A6" s="5" t="inlineStr">
        <is>
          <t>咨询率</t>
        </is>
      </c>
      <c r="B6" s="12" t="n">
        <v>0.12</v>
      </c>
      <c r="C6" s="12" t="n">
        <v>0.2</v>
      </c>
      <c r="D6" s="12" t="n">
        <v>0.28</v>
      </c>
      <c r="E6" s="5" t="inlineStr">
        <is>
          <t>%</t>
        </is>
      </c>
    </row>
    <row r="7">
      <c r="A7" s="5" t="inlineStr">
        <is>
          <t>成交率</t>
        </is>
      </c>
      <c r="B7" s="12" t="n">
        <v>0.1</v>
      </c>
      <c r="C7" s="12" t="n">
        <v>0.15</v>
      </c>
      <c r="D7" s="12" t="n">
        <v>0.22</v>
      </c>
      <c r="E7" s="5" t="inlineStr">
        <is>
          <t>%</t>
        </is>
      </c>
    </row>
    <row r="8">
      <c r="A8" s="5" t="inlineStr">
        <is>
          <t>平均客单价</t>
        </is>
      </c>
      <c r="B8" s="13" t="n">
        <v>19.9</v>
      </c>
      <c r="C8" s="13" t="n">
        <v>29.9</v>
      </c>
      <c r="D8" s="13" t="n">
        <v>39.9</v>
      </c>
      <c r="E8" s="5" t="inlineStr">
        <is>
          <t>元</t>
        </is>
      </c>
    </row>
    <row r="9">
      <c r="A9" s="5" t="inlineStr">
        <is>
          <t>退款率</t>
        </is>
      </c>
      <c r="B9" s="12" t="n">
        <v>0.06</v>
      </c>
      <c r="C9" s="12" t="n">
        <v>0.05</v>
      </c>
      <c r="D9" s="12" t="n">
        <v>0.04</v>
      </c>
      <c r="E9" s="5" t="inlineStr">
        <is>
          <t>%</t>
        </is>
      </c>
    </row>
    <row r="10">
      <c r="A10" s="5" t="inlineStr">
        <is>
          <t>平台/支付费率</t>
        </is>
      </c>
      <c r="B10" s="12" t="n">
        <v>0.07000000000000001</v>
      </c>
      <c r="C10" s="12" t="n">
        <v>0.06</v>
      </c>
      <c r="D10" s="12" t="n">
        <v>0.05</v>
      </c>
      <c r="E10" s="5" t="inlineStr">
        <is>
          <t>%</t>
        </is>
      </c>
    </row>
    <row r="11">
      <c r="A11" s="5" t="inlineStr">
        <is>
          <t>单笔履约成本</t>
        </is>
      </c>
      <c r="B11" s="13" t="n">
        <v>0.5</v>
      </c>
      <c r="C11" s="13" t="n">
        <v>0.5</v>
      </c>
      <c r="D11" s="13" t="n">
        <v>0.5</v>
      </c>
      <c r="E11" s="5" t="inlineStr">
        <is>
          <t>元</t>
        </is>
      </c>
    </row>
    <row r="12">
      <c r="A12" s="5" t="inlineStr">
        <is>
          <t>月度营销费用</t>
        </is>
      </c>
      <c r="B12" s="11" t="n">
        <v>200</v>
      </c>
      <c r="C12" s="11" t="n">
        <v>300</v>
      </c>
      <c r="D12" s="11" t="n">
        <v>500</v>
      </c>
      <c r="E12" s="5" t="inlineStr">
        <is>
          <t>元</t>
        </is>
      </c>
    </row>
    <row r="13">
      <c r="A13" s="5" t="inlineStr">
        <is>
          <t>月度固定工具成本</t>
        </is>
      </c>
      <c r="B13" s="11" t="n">
        <v>100</v>
      </c>
      <c r="C13" s="11" t="n">
        <v>200</v>
      </c>
      <c r="D13" s="11" t="n">
        <v>300</v>
      </c>
      <c r="E13" s="5" t="inlineStr">
        <is>
          <t>元</t>
        </is>
      </c>
    </row>
    <row r="14">
      <c r="A14" s="5" t="inlineStr">
        <is>
          <t>复购系数</t>
        </is>
      </c>
      <c r="B14" s="14" t="n">
        <v>1.2</v>
      </c>
      <c r="C14" s="14" t="n">
        <v>1.35</v>
      </c>
      <c r="D14" s="14" t="n">
        <v>1.6</v>
      </c>
      <c r="E14" s="5" t="inlineStr">
        <is>
          <t>倍</t>
        </is>
      </c>
    </row>
    <row r="16" ht="24" customHeight="1">
      <c r="A16" s="17" t="inlineStr">
        <is>
          <t>公式输出</t>
        </is>
      </c>
    </row>
    <row r="17">
      <c r="A17" s="18" t="inlineStr">
        <is>
          <t>主页点击</t>
        </is>
      </c>
      <c r="B17" s="19">
        <f>B4*B5</f>
        <v/>
      </c>
      <c r="C17" s="19">
        <f>C4*C5</f>
        <v/>
      </c>
      <c r="D17" s="19">
        <f>D4*D5</f>
        <v/>
      </c>
      <c r="E17" s="18" t="inlineStr">
        <is>
          <t>次</t>
        </is>
      </c>
    </row>
    <row r="18">
      <c r="A18" s="18" t="inlineStr">
        <is>
          <t>咨询数</t>
        </is>
      </c>
      <c r="B18" s="19">
        <f>B17*B6</f>
        <v/>
      </c>
      <c r="C18" s="19">
        <f>C17*C6</f>
        <v/>
      </c>
      <c r="D18" s="19">
        <f>D17*D6</f>
        <v/>
      </c>
      <c r="E18" s="18" t="inlineStr">
        <is>
          <t>人</t>
        </is>
      </c>
    </row>
    <row r="19">
      <c r="A19" s="18" t="inlineStr">
        <is>
          <t>订单数</t>
        </is>
      </c>
      <c r="B19" s="19">
        <f>B18*B7</f>
        <v/>
      </c>
      <c r="C19" s="19">
        <f>C18*C7</f>
        <v/>
      </c>
      <c r="D19" s="19">
        <f>D18*D7</f>
        <v/>
      </c>
      <c r="E19" s="18" t="inlineStr">
        <is>
          <t>单</t>
        </is>
      </c>
    </row>
    <row r="20">
      <c r="A20" s="18" t="inlineStr">
        <is>
          <t>毛收入</t>
        </is>
      </c>
      <c r="B20" s="20">
        <f>B19*B8</f>
        <v/>
      </c>
      <c r="C20" s="20">
        <f>C19*C8</f>
        <v/>
      </c>
      <c r="D20" s="20">
        <f>D19*D8</f>
        <v/>
      </c>
      <c r="E20" s="18" t="inlineStr">
        <is>
          <t>元</t>
        </is>
      </c>
    </row>
    <row r="21">
      <c r="A21" s="18" t="inlineStr">
        <is>
          <t>退款金额</t>
        </is>
      </c>
      <c r="B21" s="20">
        <f>B20*B9</f>
        <v/>
      </c>
      <c r="C21" s="20">
        <f>C20*C9</f>
        <v/>
      </c>
      <c r="D21" s="20">
        <f>D20*D9</f>
        <v/>
      </c>
      <c r="E21" s="18" t="inlineStr">
        <is>
          <t>元</t>
        </is>
      </c>
    </row>
    <row r="22">
      <c r="A22" s="18" t="inlineStr">
        <is>
          <t>净收入</t>
        </is>
      </c>
      <c r="B22" s="20">
        <f>B20-B21</f>
        <v/>
      </c>
      <c r="C22" s="20">
        <f>C20-C21</f>
        <v/>
      </c>
      <c r="D22" s="20">
        <f>D20-D21</f>
        <v/>
      </c>
      <c r="E22" s="18" t="inlineStr">
        <is>
          <t>元</t>
        </is>
      </c>
    </row>
    <row r="23">
      <c r="A23" s="18" t="inlineStr">
        <is>
          <t>平台/支付费</t>
        </is>
      </c>
      <c r="B23" s="20">
        <f>B22*B10</f>
        <v/>
      </c>
      <c r="C23" s="20">
        <f>C22*C10</f>
        <v/>
      </c>
      <c r="D23" s="20">
        <f>D22*D10</f>
        <v/>
      </c>
      <c r="E23" s="18" t="inlineStr">
        <is>
          <t>元</t>
        </is>
      </c>
    </row>
    <row r="24">
      <c r="A24" s="18" t="inlineStr">
        <is>
          <t>履约成本</t>
        </is>
      </c>
      <c r="B24" s="20">
        <f>B19*B11</f>
        <v/>
      </c>
      <c r="C24" s="20">
        <f>C19*C11</f>
        <v/>
      </c>
      <c r="D24" s="20">
        <f>D19*D11</f>
        <v/>
      </c>
      <c r="E24" s="18" t="inlineStr">
        <is>
          <t>元</t>
        </is>
      </c>
    </row>
    <row r="25">
      <c r="A25" s="18" t="inlineStr">
        <is>
          <t>贡献利润</t>
        </is>
      </c>
      <c r="B25" s="20">
        <f>B22-B23-B24</f>
        <v/>
      </c>
      <c r="C25" s="20">
        <f>C22-C23-C24</f>
        <v/>
      </c>
      <c r="D25" s="20">
        <f>D22-D23-D24</f>
        <v/>
      </c>
      <c r="E25" s="18" t="inlineStr">
        <is>
          <t>元</t>
        </is>
      </c>
    </row>
    <row r="26">
      <c r="A26" s="18" t="inlineStr">
        <is>
          <t>单笔贡献利润</t>
        </is>
      </c>
      <c r="B26" s="20">
        <f>IF(B19=0,0,B25/B19)</f>
        <v/>
      </c>
      <c r="C26" s="20">
        <f>IF(C19=0,0,C25/C19)</f>
        <v/>
      </c>
      <c r="D26" s="20">
        <f>IF(D19=0,0,D25/D19)</f>
        <v/>
      </c>
      <c r="E26" s="18" t="inlineStr">
        <is>
          <t>元</t>
        </is>
      </c>
    </row>
    <row r="27">
      <c r="A27" s="18" t="inlineStr">
        <is>
          <t>CAC</t>
        </is>
      </c>
      <c r="B27" s="20">
        <f>IF(B19=0,0,B12/B19)</f>
        <v/>
      </c>
      <c r="C27" s="20">
        <f>IF(C19=0,0,C12/C19)</f>
        <v/>
      </c>
      <c r="D27" s="20">
        <f>IF(D19=0,0,D12/D19)</f>
        <v/>
      </c>
      <c r="E27" s="18" t="inlineStr">
        <is>
          <t>元</t>
        </is>
      </c>
    </row>
    <row r="28">
      <c r="A28" s="18" t="inlineStr">
        <is>
          <t>毛利率</t>
        </is>
      </c>
      <c r="B28" s="21">
        <f>IF(B22=0,0,B25/B22)</f>
        <v/>
      </c>
      <c r="C28" s="21">
        <f>IF(C22=0,0,C25/C22)</f>
        <v/>
      </c>
      <c r="D28" s="21">
        <f>IF(D22=0,0,D25/D22)</f>
        <v/>
      </c>
      <c r="E28" s="18" t="inlineStr">
        <is>
          <t>%</t>
        </is>
      </c>
    </row>
    <row r="29">
      <c r="A29" s="18" t="inlineStr">
        <is>
          <t>LTV</t>
        </is>
      </c>
      <c r="B29" s="20">
        <f>B26*B14</f>
        <v/>
      </c>
      <c r="C29" s="20">
        <f>C26*C14</f>
        <v/>
      </c>
      <c r="D29" s="20">
        <f>D26*D14</f>
        <v/>
      </c>
      <c r="E29" s="18" t="inlineStr">
        <is>
          <t>元</t>
        </is>
      </c>
    </row>
    <row r="30">
      <c r="A30" s="18" t="inlineStr">
        <is>
          <t>LTV/CAC</t>
        </is>
      </c>
      <c r="B30" s="19">
        <f>IF(B27=0,0,B29/B27)</f>
        <v/>
      </c>
      <c r="C30" s="19">
        <f>IF(C27=0,0,C29/C27)</f>
        <v/>
      </c>
      <c r="D30" s="19">
        <f>IF(D27=0,0,D29/D27)</f>
        <v/>
      </c>
      <c r="E30" s="18" t="inlineStr">
        <is>
          <t>倍</t>
        </is>
      </c>
    </row>
    <row r="31">
      <c r="A31" s="18" t="inlineStr">
        <is>
          <t>固定成本回本订单</t>
        </is>
      </c>
      <c r="B31" s="22">
        <f>IF(B26=0,0,CEILING(B13/B26,1))</f>
        <v/>
      </c>
      <c r="C31" s="22">
        <f>IF(C26=0,0,CEILING(C13/C26,1))</f>
        <v/>
      </c>
      <c r="D31" s="22">
        <f>IF(D26=0,0,CEILING(D13/D26,1))</f>
        <v/>
      </c>
      <c r="E31" s="18" t="inlineStr">
        <is>
          <t>单</t>
        </is>
      </c>
    </row>
    <row r="32">
      <c r="A32" s="18" t="inlineStr">
        <is>
          <t>盈亏平衡订单</t>
        </is>
      </c>
      <c r="B32" s="22">
        <f>IF(B26=0,0,CEILING((B12+B13)/B26,1))</f>
        <v/>
      </c>
      <c r="C32" s="22">
        <f>IF(C26=0,0,CEILING((C12+C13)/C26,1))</f>
        <v/>
      </c>
      <c r="D32" s="22">
        <f>IF(D26=0,0,CEILING((D12+D13)/D26,1))</f>
        <v/>
      </c>
      <c r="E32" s="18" t="inlineStr">
        <is>
          <t>单</t>
        </is>
      </c>
    </row>
    <row r="33">
      <c r="A33" s="18" t="inlineStr">
        <is>
          <t>月经营利润</t>
        </is>
      </c>
      <c r="B33" s="20">
        <f>B25-B12-B13</f>
        <v/>
      </c>
      <c r="C33" s="20">
        <f>C25-C12-C13</f>
        <v/>
      </c>
      <c r="D33" s="20">
        <f>D25-D12-D13</f>
        <v/>
      </c>
      <c r="E33" s="18" t="inlineStr">
        <is>
          <t>元</t>
        </is>
      </c>
    </row>
    <row r="34">
      <c r="A34" s="18" t="inlineStr">
        <is>
          <t>月经营利润率</t>
        </is>
      </c>
      <c r="B34" s="21">
        <f>IF(B22=0,0,B33/B22)</f>
        <v/>
      </c>
      <c r="C34" s="21">
        <f>IF(C22=0,0,C33/C22)</f>
        <v/>
      </c>
      <c r="D34" s="21">
        <f>IF(D22=0,0,D33/D22)</f>
        <v/>
      </c>
      <c r="E34" s="18" t="inlineStr">
        <is>
          <t>%</t>
        </is>
      </c>
    </row>
    <row r="36" ht="24" customHeight="1">
      <c r="A36" s="17" t="inlineStr">
        <is>
          <t>情景结论</t>
        </is>
      </c>
    </row>
    <row r="37" ht="28" customHeight="1">
      <c r="A37" s="3" t="inlineStr">
        <is>
          <t>情景</t>
        </is>
      </c>
      <c r="B37" s="3" t="inlineStr">
        <is>
          <t>管理动作</t>
        </is>
      </c>
    </row>
    <row r="38">
      <c r="A38" s="5" t="inlineStr">
        <is>
          <t>保守</t>
        </is>
      </c>
      <c r="B38" s="5" t="inlineStr">
        <is>
          <t>先验证是否有人付款；低于 1 单就继续做内容和私信，不增加付费投放。</t>
        </is>
      </c>
    </row>
    <row r="39">
      <c r="A39" s="5" t="inlineStr">
        <is>
          <t>基准</t>
        </is>
      </c>
      <c r="B39" s="5" t="inlineStr">
        <is>
          <t>达到手册首月最低目标附近；重点看 CAC 是否小于单笔贡献利润。</t>
        </is>
      </c>
    </row>
    <row r="40">
      <c r="A40" s="5" t="inlineStr">
        <is>
          <t>进取</t>
        </is>
      </c>
      <c r="B40" s="5" t="inlineStr">
        <is>
          <t>只有在咨询和复购真实存在时才加码；不要让进取情景倒逼过度承诺或无限改稿。</t>
        </is>
      </c>
    </row>
    <row r="42" ht="24" customHeight="1">
      <c r="A42" s="17" t="inlineStr">
        <is>
          <t>图表数据</t>
        </is>
      </c>
    </row>
    <row r="43" ht="28" customHeight="1">
      <c r="A43" s="3" t="inlineStr">
        <is>
          <t>指标</t>
        </is>
      </c>
      <c r="B43" s="3" t="inlineStr">
        <is>
          <t>保守</t>
        </is>
      </c>
      <c r="C43" s="3" t="inlineStr">
        <is>
          <t>基准</t>
        </is>
      </c>
      <c r="D43" s="3" t="inlineStr">
        <is>
          <t>进取</t>
        </is>
      </c>
    </row>
    <row r="44">
      <c r="A44" s="5" t="inlineStr">
        <is>
          <t>毛收入</t>
        </is>
      </c>
      <c r="B44" s="23">
        <f>C20</f>
        <v/>
      </c>
      <c r="C44" s="23">
        <f>D20</f>
        <v/>
      </c>
      <c r="D44" s="23">
        <f>E20</f>
        <v/>
      </c>
    </row>
    <row r="45">
      <c r="A45" s="5" t="inlineStr">
        <is>
          <t>贡献利润</t>
        </is>
      </c>
      <c r="B45" s="23">
        <f>C25</f>
        <v/>
      </c>
      <c r="C45" s="23">
        <f>D25</f>
        <v/>
      </c>
      <c r="D45" s="23">
        <f>E25</f>
        <v/>
      </c>
    </row>
    <row r="46">
      <c r="A46" s="5" t="inlineStr">
        <is>
          <t>月经营利润</t>
        </is>
      </c>
      <c r="B46" s="23">
        <f>C33</f>
        <v/>
      </c>
      <c r="C46" s="23">
        <f>D33</f>
        <v/>
      </c>
      <c r="D46" s="23">
        <f>E33</f>
        <v/>
      </c>
    </row>
  </sheetData>
  <autoFilter ref="A43:D46"/>
  <mergeCells count="5">
    <mergeCell ref="A2:F2"/>
    <mergeCell ref="A16:F16"/>
    <mergeCell ref="A42:F42"/>
    <mergeCell ref="A36:F36"/>
    <mergeCell ref="A1:F1"/>
  </mergeCells>
  <conditionalFormatting sqref="E17:E34">
    <cfRule type="cellIs" priority="1" operator="greaterThan" dxfId="0">
      <formula>0</formula>
    </cfRule>
  </conditionalFormatting>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17"/>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16" customWidth="1" min="3" max="3"/>
    <col width="16" customWidth="1" min="4" max="4"/>
    <col width="18" customWidth="1" min="5" max="5"/>
    <col width="18" customWidth="1" min="6" max="6"/>
    <col width="22" customWidth="1" min="7" max="7"/>
    <col width="22" customWidth="1" min="8" max="8"/>
  </cols>
  <sheetData>
    <row r="1" ht="32" customHeight="1">
      <c r="A1" s="1" t="inlineStr">
        <is>
          <t>09 获客渠道与漏斗</t>
        </is>
      </c>
    </row>
    <row r="2" ht="30" customHeight="1">
      <c r="A2" s="2" t="inlineStr">
        <is>
          <t>基准情景漏斗用于判断免费内容和私域是否足以带来第一批付费用户。</t>
        </is>
      </c>
    </row>
    <row r="3" ht="28" customHeight="1">
      <c r="A3" s="3" t="inlineStr">
        <is>
          <t>漏斗阶段</t>
        </is>
      </c>
      <c r="B3" s="3" t="inlineStr">
        <is>
          <t>数量</t>
        </is>
      </c>
      <c r="C3" s="3" t="inlineStr">
        <is>
          <t>阶段转化率</t>
        </is>
      </c>
      <c r="D3" s="3" t="inlineStr">
        <is>
          <t>口径</t>
        </is>
      </c>
    </row>
    <row r="4">
      <c r="A4" s="5" t="inlineStr">
        <is>
          <t>曝光</t>
        </is>
      </c>
      <c r="B4" s="24">
        <f>'08_三情景测算'!D4</f>
        <v/>
      </c>
      <c r="C4" s="25" t="inlineStr"/>
      <c r="D4" s="5" t="inlineStr">
        <is>
          <t>来自基准情景</t>
        </is>
      </c>
    </row>
    <row r="5">
      <c r="A5" s="5" t="inlineStr">
        <is>
          <t>主页点击</t>
        </is>
      </c>
      <c r="B5" s="24">
        <f>'08_三情景测算'!D17</f>
        <v/>
      </c>
      <c r="C5" s="10">
        <f>IF(B4=0,0,B5/B4)</f>
        <v/>
      </c>
      <c r="D5" s="5" t="inlineStr">
        <is>
          <t>点击率</t>
        </is>
      </c>
    </row>
    <row r="6">
      <c r="A6" s="5" t="inlineStr">
        <is>
          <t>咨询/私信</t>
        </is>
      </c>
      <c r="B6" s="24">
        <f>'08_三情景测算'!D18</f>
        <v/>
      </c>
      <c r="C6" s="10">
        <f>IF(B5=0,0,B6/B5)</f>
        <v/>
      </c>
      <c r="D6" s="5" t="inlineStr">
        <is>
          <t>主页点击转咨询</t>
        </is>
      </c>
    </row>
    <row r="7">
      <c r="A7" s="5" t="inlineStr">
        <is>
          <t>订单</t>
        </is>
      </c>
      <c r="B7" s="24">
        <f>'08_三情景测算'!D19</f>
        <v/>
      </c>
      <c r="C7" s="10">
        <f>IF(B6=0,0,B7/B6)</f>
        <v/>
      </c>
      <c r="D7" s="5" t="inlineStr">
        <is>
          <t>咨询转成交</t>
        </is>
      </c>
    </row>
    <row r="8">
      <c r="A8" s="5" t="inlineStr">
        <is>
          <t>复购/订阅估算</t>
        </is>
      </c>
      <c r="B8" s="24">
        <f>B7*0.25</f>
        <v/>
      </c>
      <c r="C8" s="10">
        <f>IF(B7=0,0,B8/B7)</f>
        <v/>
      </c>
      <c r="D8" s="5" t="inlineStr">
        <is>
          <t>按 25% 订单转化估算</t>
        </is>
      </c>
    </row>
    <row r="10" ht="28" customHeight="1">
      <c r="A10" s="3" t="inlineStr">
        <is>
          <t>渠道</t>
        </is>
      </c>
      <c r="B10" s="3" t="inlineStr">
        <is>
          <t>作用</t>
        </is>
      </c>
      <c r="C10" s="3" t="inlineStr">
        <is>
          <t>预算/成本</t>
        </is>
      </c>
      <c r="D10" s="3" t="inlineStr">
        <is>
          <t>匹配度</t>
        </is>
      </c>
      <c r="E10" s="3" t="inlineStr">
        <is>
          <t>验证动作</t>
        </is>
      </c>
      <c r="F10" s="3" t="inlineStr">
        <is>
          <t>通过标准</t>
        </is>
      </c>
      <c r="G10" s="3" t="inlineStr">
        <is>
          <t>退出条件</t>
        </is>
      </c>
    </row>
    <row r="11">
      <c r="A11" s="5" t="inlineStr">
        <is>
          <t>小红书内容</t>
        </is>
      </c>
      <c r="B11" s="5" t="inlineStr">
        <is>
          <t>曝光+信任</t>
        </is>
      </c>
      <c r="C11" s="5" t="inlineStr">
        <is>
          <t>0-100 元</t>
        </is>
      </c>
      <c r="D11" s="5" t="inlineStr">
        <is>
          <t>高</t>
        </is>
      </c>
      <c r="E11" s="5" t="inlineStr">
        <is>
          <t>30 天发布 30 条，3 条带明确钩子</t>
        </is>
      </c>
      <c r="F11" s="5" t="inlineStr">
        <is>
          <t>有 1 篇 500+ 浏览且产生咨询</t>
        </is>
      </c>
      <c r="G11" s="5" t="inlineStr">
        <is>
          <t>连续 2 周无咨询则改标题/封面</t>
        </is>
      </c>
    </row>
    <row r="12">
      <c r="A12" s="5" t="inlineStr">
        <is>
          <t>小红书私信</t>
        </is>
      </c>
      <c r="B12" s="5" t="inlineStr">
        <is>
          <t>高意向转化</t>
        </is>
      </c>
      <c r="C12" s="5" t="inlineStr">
        <is>
          <t>0 元</t>
        </is>
      </c>
      <c r="D12" s="5" t="inlineStr">
        <is>
          <t>高</t>
        </is>
      </c>
      <c r="E12" s="5" t="inlineStr">
        <is>
          <t>主动私信 20 位提问用户</t>
        </is>
      </c>
      <c r="F12" s="5" t="inlineStr">
        <is>
          <t>每天至少 3 次有效互动</t>
        </is>
      </c>
      <c r="G12" s="5" t="inlineStr">
        <is>
          <t>出现违规风险则改由评论答疑</t>
        </is>
      </c>
    </row>
    <row r="13">
      <c r="A13" s="5" t="inlineStr">
        <is>
          <t>朋友圈</t>
        </is>
      </c>
      <c r="B13" s="5" t="inlineStr">
        <is>
          <t>熟人信任</t>
        </is>
      </c>
      <c r="C13" s="5" t="inlineStr">
        <is>
          <t>0 元</t>
        </is>
      </c>
      <c r="D13" s="5" t="inlineStr">
        <is>
          <t>中高</t>
        </is>
      </c>
      <c r="E13" s="5" t="inlineStr">
        <is>
          <t>连续 7 天展示产品、过程、案例</t>
        </is>
      </c>
      <c r="F13" s="5" t="inlineStr">
        <is>
          <t>至少 1 个熟人咨询</t>
        </is>
      </c>
      <c r="G13" s="5" t="inlineStr">
        <is>
          <t>无人互动则减少频率</t>
        </is>
      </c>
    </row>
    <row r="14">
      <c r="A14" s="5" t="inlineStr">
        <is>
          <t>面包多/爱发电</t>
        </is>
      </c>
      <c r="B14" s="5" t="inlineStr">
        <is>
          <t>成交与自动发货</t>
        </is>
      </c>
      <c r="C14" s="5" t="inlineStr">
        <is>
          <t>平台抽佣 3%-10%</t>
        </is>
      </c>
      <c r="D14" s="5" t="inlineStr">
        <is>
          <t>高</t>
        </is>
      </c>
      <c r="E14" s="5" t="inlineStr">
        <is>
          <t>上架 SKU 1 和 SKU 4</t>
        </is>
      </c>
      <c r="F14" s="5" t="inlineStr">
        <is>
          <t>购买链接可用且自动发货</t>
        </is>
      </c>
      <c r="G14" s="5" t="inlineStr">
        <is>
          <t>抽佣或类目不符则换平台</t>
        </is>
      </c>
    </row>
    <row r="15">
      <c r="A15" s="5" t="inlineStr">
        <is>
          <t>公众号</t>
        </is>
      </c>
      <c r="B15" s="5" t="inlineStr">
        <is>
          <t>内容沉淀</t>
        </is>
      </c>
      <c r="C15" s="5" t="inlineStr">
        <is>
          <t>0 元</t>
        </is>
      </c>
      <c r="D15" s="5" t="inlineStr">
        <is>
          <t>中</t>
        </is>
      </c>
      <c r="E15" s="5" t="inlineStr">
        <is>
          <t>同步长文，承接免费版领取</t>
        </is>
      </c>
      <c r="F15" s="5" t="inlineStr">
        <is>
          <t>7 天内新增 10 个关注</t>
        </is>
      </c>
      <c r="G15" s="5" t="inlineStr">
        <is>
          <t>无增长则只保留同步分发</t>
        </is>
      </c>
    </row>
    <row r="16">
      <c r="A16" s="5" t="inlineStr">
        <is>
          <t>付费投放</t>
        </is>
      </c>
      <c r="B16" s="5" t="inlineStr">
        <is>
          <t>放大验证</t>
        </is>
      </c>
      <c r="C16" s="5" t="inlineStr">
        <is>
          <t>首月 0-200 元</t>
        </is>
      </c>
      <c r="D16" s="5" t="inlineStr">
        <is>
          <t>低</t>
        </is>
      </c>
      <c r="E16" s="5" t="inlineStr">
        <is>
          <t>只对已出单内容做小额测试</t>
        </is>
      </c>
      <c r="F16" s="5" t="inlineStr">
        <is>
          <t>CAC 小于单笔贡献利润</t>
        </is>
      </c>
      <c r="G16" s="5" t="inlineStr">
        <is>
          <t>首月无自然转化时不投放</t>
        </is>
      </c>
    </row>
    <row r="17">
      <c r="A17" s="5" t="inlineStr">
        <is>
          <t>联盟/互推</t>
        </is>
      </c>
      <c r="B17" s="5" t="inlineStr">
        <is>
          <t>借力分发</t>
        </is>
      </c>
      <c r="C17" s="5" t="inlineStr">
        <is>
          <t>按成交分成</t>
        </is>
      </c>
      <c r="D17" s="5" t="inlineStr">
        <is>
          <t>中</t>
        </is>
      </c>
      <c r="E17" s="5" t="inlineStr">
        <is>
          <t>找同行交换体验版或做联合直播</t>
        </is>
      </c>
      <c r="F17" s="5" t="inlineStr">
        <is>
          <t>带来至少 3 个有效咨询</t>
        </is>
      </c>
      <c r="G17" s="5" t="inlineStr">
        <is>
          <t>对方用户不匹配则停止</t>
        </is>
      </c>
    </row>
  </sheetData>
  <autoFilter ref="A10:G17"/>
  <mergeCells count="2">
    <mergeCell ref="A2:H2"/>
    <mergeCell ref="A1:H1"/>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J34"/>
  <sheetViews>
    <sheetView showGridLines="0" workbookViewId="0">
      <pane ySplit="3" topLeftCell="A4" activePane="bottomLeft" state="frozen"/>
      <selection pane="bottomLeft" activeCell="A1" sqref="A1"/>
    </sheetView>
  </sheetViews>
  <sheetFormatPr baseColWidth="8" defaultRowHeight="15"/>
  <cols>
    <col width="8" customWidth="1" min="1" max="1"/>
    <col width="8" customWidth="1" min="2" max="2"/>
    <col width="18" customWidth="1" min="3" max="3"/>
    <col width="44" customWidth="1" min="4" max="4"/>
    <col width="26" customWidth="1" min="5" max="5"/>
    <col width="20" customWidth="1" min="6" max="6"/>
    <col width="12" customWidth="1" min="7" max="7"/>
    <col width="24" customWidth="1" min="8" max="8"/>
    <col width="12" customWidth="1" min="9" max="9"/>
    <col width="14" customWidth="1" min="10" max="10"/>
  </cols>
  <sheetData>
    <row r="1" ht="32" customHeight="1">
      <c r="A1" s="1" t="inlineStr">
        <is>
          <t>10 30 天执行计划</t>
        </is>
      </c>
    </row>
    <row r="2" ht="30" customHeight="1">
      <c r="A2" s="2" t="inlineStr">
        <is>
          <t>前 7 天逐日执行，8-30 天按周目标拆成每日动作；状态列可下拉选择。</t>
        </is>
      </c>
    </row>
    <row r="3" ht="28" customHeight="1">
      <c r="A3" s="3" t="inlineStr">
        <is>
          <t>日期</t>
        </is>
      </c>
      <c r="B3" s="3" t="inlineStr">
        <is>
          <t>周次</t>
        </is>
      </c>
      <c r="C3" s="3" t="inlineStr">
        <is>
          <t>阶段</t>
        </is>
      </c>
      <c r="D3" s="3" t="inlineStr">
        <is>
          <t>关键任务</t>
        </is>
      </c>
      <c r="E3" s="3" t="inlineStr">
        <is>
          <t>产出物</t>
        </is>
      </c>
      <c r="F3" s="3" t="inlineStr">
        <is>
          <t>渠道/工具</t>
        </is>
      </c>
      <c r="G3" s="3" t="inlineStr">
        <is>
          <t>预算(元)</t>
        </is>
      </c>
      <c r="H3" s="3" t="inlineStr">
        <is>
          <t>核心指标</t>
        </is>
      </c>
      <c r="I3" s="3" t="inlineStr">
        <is>
          <t>状态</t>
        </is>
      </c>
      <c r="J3" s="3" t="inlineStr">
        <is>
          <t>负责人</t>
        </is>
      </c>
    </row>
    <row r="4">
      <c r="A4" s="5" t="inlineStr">
        <is>
          <t>Day 0</t>
        </is>
      </c>
      <c r="B4" s="5" t="inlineStr">
        <is>
          <t>准备</t>
        </is>
      </c>
      <c r="C4" s="5" t="inlineStr">
        <is>
          <t>准备日</t>
        </is>
      </c>
      <c r="D4" s="5" t="inlineStr">
        <is>
          <t>检查设备与账号清单；注册工具；建立产品文档和数据复盘表；写一句 30 天目标。</t>
        </is>
      </c>
      <c r="E4" s="5" t="inlineStr">
        <is>
          <t>工具与账号可用；飞书 2 个文档</t>
        </is>
      </c>
      <c r="F4" s="5" t="inlineStr">
        <is>
          <t>电脑/手机/飞书</t>
        </is>
      </c>
      <c r="G4" s="26" t="n">
        <v>200</v>
      </c>
      <c r="H4" s="5" t="inlineStr">
        <is>
          <t>账号注册完成率 100%</t>
        </is>
      </c>
      <c r="I4" s="27" t="inlineStr">
        <is>
          <t>未开始</t>
        </is>
      </c>
      <c r="J4" s="5" t="inlineStr">
        <is>
          <t>创业者</t>
        </is>
      </c>
    </row>
    <row r="5">
      <c r="A5" s="5" t="inlineStr">
        <is>
          <t>Day 1</t>
        </is>
      </c>
      <c r="B5" s="5" t="inlineStr">
        <is>
          <t>第1周</t>
        </is>
      </c>
      <c r="C5" s="5" t="inlineStr">
        <is>
          <t>基建日</t>
        </is>
      </c>
      <c r="D5" s="5" t="inlineStr">
        <is>
          <t>注册小红书、公众号、收款平台、飞书和至少 3 个 AI 工具；写入 5 个 SKU。</t>
        </is>
      </c>
      <c r="E5" s="5" t="inlineStr">
        <is>
          <t>5 行 SKU 表与平台账号</t>
        </is>
      </c>
      <c r="F5" s="5" t="inlineStr">
        <is>
          <t>小红书/公众号/飞书</t>
        </is>
      </c>
      <c r="G5" s="26" t="n">
        <v>100</v>
      </c>
      <c r="H5" s="5" t="inlineStr">
        <is>
          <t>5 个 SKU 完成建档</t>
        </is>
      </c>
      <c r="I5" s="27" t="inlineStr">
        <is>
          <t>未开始</t>
        </is>
      </c>
      <c r="J5" s="5" t="inlineStr">
        <is>
          <t>创业者</t>
        </is>
      </c>
    </row>
    <row r="6">
      <c r="A6" s="5" t="inlineStr">
        <is>
          <t>Day 2</t>
        </is>
      </c>
      <c r="B6" s="5" t="inlineStr">
        <is>
          <t>第1周</t>
        </is>
      </c>
      <c r="C6" s="5" t="inlineStr">
        <is>
          <t>框架日</t>
        </is>
      </c>
      <c r="D6" s="5" t="inlineStr">
        <is>
          <t>建立种草文模板包目录；收集 30 个标题；归纳 10 个公式；测试提示词。</t>
        </is>
      </c>
      <c r="E6" s="5" t="inlineStr">
        <is>
          <t>产品目录和标题库</t>
        </is>
      </c>
      <c r="F6" s="5" t="inlineStr">
        <is>
          <t>小红书/飞书/DeepSeek</t>
        </is>
      </c>
      <c r="G6" s="26" t="n">
        <v>0</v>
      </c>
      <c r="H6" s="5" t="inlineStr">
        <is>
          <t>30 个标题、10 个公式</t>
        </is>
      </c>
      <c r="I6" s="27" t="inlineStr">
        <is>
          <t>未开始</t>
        </is>
      </c>
      <c r="J6" s="5" t="inlineStr">
        <is>
          <t>创业者</t>
        </is>
      </c>
    </row>
    <row r="7">
      <c r="A7" s="5" t="inlineStr">
        <is>
          <t>Day 3</t>
        </is>
      </c>
      <c r="B7" s="5" t="inlineStr">
        <is>
          <t>第1周</t>
        </is>
      </c>
      <c r="C7" s="5" t="inlineStr">
        <is>
          <t>初稿日</t>
        </is>
      </c>
      <c r="D7" s="5" t="inlineStr">
        <is>
          <t>补齐 30 个标题公式；写 5 篇模板；整理 4 组话题标签；写说明页。</t>
        </is>
      </c>
      <c r="E7" s="5" t="inlineStr">
        <is>
          <t>产品 V1 初稿</t>
        </is>
      </c>
      <c r="F7" s="5" t="inlineStr">
        <is>
          <t>DeepSeek/飞书</t>
        </is>
      </c>
      <c r="G7" s="26" t="n">
        <v>0</v>
      </c>
      <c r="H7" s="5" t="inlineStr">
        <is>
          <t>产品目录全部有内容</t>
        </is>
      </c>
      <c r="I7" s="27" t="inlineStr">
        <is>
          <t>未开始</t>
        </is>
      </c>
      <c r="J7" s="5" t="inlineStr">
        <is>
          <t>创业者</t>
        </is>
      </c>
    </row>
    <row r="8">
      <c r="A8" s="5" t="inlineStr">
        <is>
          <t>Day 4</t>
        </is>
      </c>
      <c r="B8" s="5" t="inlineStr">
        <is>
          <t>第1周</t>
        </is>
      </c>
      <c r="C8" s="5" t="inlineStr">
        <is>
          <t>完善日</t>
        </is>
      </c>
      <c r="D8" s="5" t="inlineStr">
        <is>
          <t>导出 PDF；做 3 张封面；制作免费体验版；建立 SKU 2 的 10 条提示词。</t>
        </is>
      </c>
      <c r="E8" s="5" t="inlineStr">
        <is>
          <t>PDF、封面、体验版</t>
        </is>
      </c>
      <c r="F8" s="5" t="inlineStr">
        <is>
          <t>飞书/Canva/稿定</t>
        </is>
      </c>
      <c r="G8" s="26" t="n">
        <v>0</v>
      </c>
      <c r="H8" s="5" t="inlineStr">
        <is>
          <t>可交付文件不少于 4 个</t>
        </is>
      </c>
      <c r="I8" s="27" t="inlineStr">
        <is>
          <t>未开始</t>
        </is>
      </c>
      <c r="J8" s="5" t="inlineStr">
        <is>
          <t>创业者</t>
        </is>
      </c>
    </row>
    <row r="9">
      <c r="A9" s="5" t="inlineStr">
        <is>
          <t>Day 5</t>
        </is>
      </c>
      <c r="B9" s="5" t="inlineStr">
        <is>
          <t>第1周</t>
        </is>
      </c>
      <c r="C9" s="5" t="inlineStr">
        <is>
          <t>上架日</t>
        </is>
      </c>
      <c r="D9" s="5" t="inlineStr">
        <is>
          <t>上架 SKU 1 和 SKU 4；提交小红书店铺申请；写 5 个详情页；设置微信个人号。</t>
        </is>
      </c>
      <c r="E9" s="5" t="inlineStr">
        <is>
          <t>2 个购买链接与 5 份详情页</t>
        </is>
      </c>
      <c r="F9" s="5" t="inlineStr">
        <is>
          <t>面包多/爱发电/小红书/微信</t>
        </is>
      </c>
      <c r="G9" s="26" t="n">
        <v>50</v>
      </c>
      <c r="H9" s="5" t="inlineStr">
        <is>
          <t>2 个 SKU 可付款</t>
        </is>
      </c>
      <c r="I9" s="27" t="inlineStr">
        <is>
          <t>未开始</t>
        </is>
      </c>
      <c r="J9" s="5" t="inlineStr">
        <is>
          <t>创业者</t>
        </is>
      </c>
    </row>
    <row r="10">
      <c r="A10" s="5" t="inlineStr">
        <is>
          <t>Day 6</t>
        </is>
      </c>
      <c r="B10" s="5" t="inlineStr">
        <is>
          <t>第1周</t>
        </is>
      </c>
      <c r="C10" s="5" t="inlineStr">
        <is>
          <t>内容生产日</t>
        </is>
      </c>
      <c r="D10" s="5" t="inlineStr">
        <is>
          <t>写 1 条 AI 日报、1 条工具实测、1 条垂直内容，并完成 3 张封面。</t>
        </is>
      </c>
      <c r="E10" s="5" t="inlineStr">
        <is>
          <t>3 篇待发布内容</t>
        </is>
      </c>
      <c r="F10" s="5" t="inlineStr">
        <is>
          <t>DeepSeek/Canva</t>
        </is>
      </c>
      <c r="G10" s="26" t="n">
        <v>0</v>
      </c>
      <c r="H10" s="5" t="inlineStr">
        <is>
          <t>3 篇内容可发布</t>
        </is>
      </c>
      <c r="I10" s="27" t="inlineStr">
        <is>
          <t>未开始</t>
        </is>
      </c>
      <c r="J10" s="5" t="inlineStr">
        <is>
          <t>创业者</t>
        </is>
      </c>
    </row>
    <row r="11">
      <c r="A11" s="5" t="inlineStr">
        <is>
          <t>Day 7</t>
        </is>
      </c>
      <c r="B11" s="5" t="inlineStr">
        <is>
          <t>第1周</t>
        </is>
      </c>
      <c r="C11" s="5" t="inlineStr">
        <is>
          <t>发布复盘日</t>
        </is>
      </c>
      <c r="D11" s="5" t="inlineStr">
        <is>
          <t>发布 3 篇内容；发 2 条朋友圈；填第一周数据；确定下周 7 个选题。</t>
        </is>
      </c>
      <c r="E11" s="5" t="inlineStr">
        <is>
          <t>首周内容和复盘表</t>
        </is>
      </c>
      <c r="F11" s="5" t="inlineStr">
        <is>
          <t>小红书/微信/飞书</t>
        </is>
      </c>
      <c r="G11" s="26" t="n">
        <v>0</v>
      </c>
      <c r="H11" s="5" t="inlineStr">
        <is>
          <t>至少 1 份免费版发出</t>
        </is>
      </c>
      <c r="I11" s="27" t="inlineStr">
        <is>
          <t>未开始</t>
        </is>
      </c>
      <c r="J11" s="5" t="inlineStr">
        <is>
          <t>创业者</t>
        </is>
      </c>
    </row>
    <row r="12">
      <c r="A12" s="5" t="inlineStr">
        <is>
          <t>Day 8</t>
        </is>
      </c>
      <c r="B12" s="5" t="inlineStr">
        <is>
          <t>第2周</t>
        </is>
      </c>
      <c r="C12" s="5" t="inlineStr">
        <is>
          <t>增长验证</t>
        </is>
      </c>
      <c r="D12" s="5" t="inlineStr">
        <is>
          <t>发布 1 条内容并回复全部评论/私信；其中至少 3 天主动私信高意向用户并发送免费体验版。</t>
        </is>
      </c>
      <c r="E12" s="5" t="inlineStr">
        <is>
          <t>1 条内容、互动记录、1 次产品迭代</t>
        </is>
      </c>
      <c r="F12" s="5" t="inlineStr">
        <is>
          <t>小红书/微信/飞书</t>
        </is>
      </c>
      <c r="G12" s="26" t="n">
        <v>0</v>
      </c>
      <c r="H12" s="5" t="inlineStr">
        <is>
          <t>周内至少 1 篇 500+ 浏览、3 次咨询</t>
        </is>
      </c>
      <c r="I12" s="27" t="inlineStr">
        <is>
          <t>未开始</t>
        </is>
      </c>
      <c r="J12" s="5" t="inlineStr">
        <is>
          <t>创业者</t>
        </is>
      </c>
    </row>
    <row r="13">
      <c r="A13" s="5" t="inlineStr">
        <is>
          <t>Day 9</t>
        </is>
      </c>
      <c r="B13" s="5" t="inlineStr">
        <is>
          <t>第2周</t>
        </is>
      </c>
      <c r="C13" s="5" t="inlineStr">
        <is>
          <t>增长验证</t>
        </is>
      </c>
      <c r="D13" s="5" t="inlineStr">
        <is>
          <t>发布 1 条内容并回复全部评论/私信；其中至少 3 天主动私信高意向用户并发送免费体验版。</t>
        </is>
      </c>
      <c r="E13" s="5" t="inlineStr">
        <is>
          <t>1 条内容、互动记录、1 次产品迭代</t>
        </is>
      </c>
      <c r="F13" s="5" t="inlineStr">
        <is>
          <t>小红书/微信/飞书</t>
        </is>
      </c>
      <c r="G13" s="26" t="n">
        <v>0</v>
      </c>
      <c r="H13" s="5" t="inlineStr">
        <is>
          <t>周内至少 1 篇 500+ 浏览、3 次咨询</t>
        </is>
      </c>
      <c r="I13" s="27" t="inlineStr">
        <is>
          <t>未开始</t>
        </is>
      </c>
      <c r="J13" s="5" t="inlineStr">
        <is>
          <t>创业者</t>
        </is>
      </c>
    </row>
    <row r="14">
      <c r="A14" s="5" t="inlineStr">
        <is>
          <t>Day 10</t>
        </is>
      </c>
      <c r="B14" s="5" t="inlineStr">
        <is>
          <t>第2周</t>
        </is>
      </c>
      <c r="C14" s="5" t="inlineStr">
        <is>
          <t>增长验证</t>
        </is>
      </c>
      <c r="D14" s="5" t="inlineStr">
        <is>
          <t>发布 1 条内容并回复全部评论/私信；其中至少 3 天主动私信高意向用户并发送免费体验版。 根据评论反馈完成 1 次标题或说明页优化。</t>
        </is>
      </c>
      <c r="E14" s="5" t="inlineStr">
        <is>
          <t>1 条内容、互动记录、1 次产品迭代</t>
        </is>
      </c>
      <c r="F14" s="5" t="inlineStr">
        <is>
          <t>小红书/微信/飞书</t>
        </is>
      </c>
      <c r="G14" s="26" t="n">
        <v>0</v>
      </c>
      <c r="H14" s="5" t="inlineStr">
        <is>
          <t>周内至少 1 篇 500+ 浏览、3 次咨询</t>
        </is>
      </c>
      <c r="I14" s="27" t="inlineStr">
        <is>
          <t>未开始</t>
        </is>
      </c>
      <c r="J14" s="5" t="inlineStr">
        <is>
          <t>创业者</t>
        </is>
      </c>
    </row>
    <row r="15">
      <c r="A15" s="5" t="inlineStr">
        <is>
          <t>Day 11</t>
        </is>
      </c>
      <c r="B15" s="5" t="inlineStr">
        <is>
          <t>第2周</t>
        </is>
      </c>
      <c r="C15" s="5" t="inlineStr">
        <is>
          <t>增长验证</t>
        </is>
      </c>
      <c r="D15" s="5" t="inlineStr">
        <is>
          <t>发布 1 条内容并回复全部评论/私信；其中至少 3 天主动私信高意向用户并发送免费体验版。</t>
        </is>
      </c>
      <c r="E15" s="5" t="inlineStr">
        <is>
          <t>1 条内容、互动记录、1 次产品迭代</t>
        </is>
      </c>
      <c r="F15" s="5" t="inlineStr">
        <is>
          <t>小红书/微信/飞书</t>
        </is>
      </c>
      <c r="G15" s="26" t="n">
        <v>0</v>
      </c>
      <c r="H15" s="5" t="inlineStr">
        <is>
          <t>周内至少 1 篇 500+ 浏览、3 次咨询</t>
        </is>
      </c>
      <c r="I15" s="27" t="inlineStr">
        <is>
          <t>未开始</t>
        </is>
      </c>
      <c r="J15" s="5" t="inlineStr">
        <is>
          <t>创业者</t>
        </is>
      </c>
    </row>
    <row r="16">
      <c r="A16" s="5" t="inlineStr">
        <is>
          <t>Day 12</t>
        </is>
      </c>
      <c r="B16" s="5" t="inlineStr">
        <is>
          <t>第2周</t>
        </is>
      </c>
      <c r="C16" s="5" t="inlineStr">
        <is>
          <t>增长验证</t>
        </is>
      </c>
      <c r="D16" s="5" t="inlineStr">
        <is>
          <t>发布 1 条内容并回复全部评论/私信；其中至少 3 天主动私信高意向用户并发送免费体验版。</t>
        </is>
      </c>
      <c r="E16" s="5" t="inlineStr">
        <is>
          <t>1 条内容、互动记录、1 次产品迭代</t>
        </is>
      </c>
      <c r="F16" s="5" t="inlineStr">
        <is>
          <t>小红书/微信/飞书</t>
        </is>
      </c>
      <c r="G16" s="26" t="n">
        <v>0</v>
      </c>
      <c r="H16" s="5" t="inlineStr">
        <is>
          <t>周内至少 1 篇 500+ 浏览、3 次咨询</t>
        </is>
      </c>
      <c r="I16" s="27" t="inlineStr">
        <is>
          <t>未开始</t>
        </is>
      </c>
      <c r="J16" s="5" t="inlineStr">
        <is>
          <t>创业者</t>
        </is>
      </c>
    </row>
    <row r="17">
      <c r="A17" s="5" t="inlineStr">
        <is>
          <t>Day 13</t>
        </is>
      </c>
      <c r="B17" s="5" t="inlineStr">
        <is>
          <t>第2周</t>
        </is>
      </c>
      <c r="C17" s="5" t="inlineStr">
        <is>
          <t>增长验证</t>
        </is>
      </c>
      <c r="D17" s="5" t="inlineStr">
        <is>
          <t>发布 1 条内容并回复全部评论/私信；其中至少 3 天主动私信高意向用户并发送免费体验版。</t>
        </is>
      </c>
      <c r="E17" s="5" t="inlineStr">
        <is>
          <t>1 条内容、互动记录、1 次产品迭代</t>
        </is>
      </c>
      <c r="F17" s="5" t="inlineStr">
        <is>
          <t>小红书/微信/飞书</t>
        </is>
      </c>
      <c r="G17" s="26" t="n">
        <v>0</v>
      </c>
      <c r="H17" s="5" t="inlineStr">
        <is>
          <t>周内至少 1 篇 500+ 浏览、3 次咨询</t>
        </is>
      </c>
      <c r="I17" s="27" t="inlineStr">
        <is>
          <t>未开始</t>
        </is>
      </c>
      <c r="J17" s="5" t="inlineStr">
        <is>
          <t>创业者</t>
        </is>
      </c>
    </row>
    <row r="18">
      <c r="A18" s="5" t="inlineStr">
        <is>
          <t>Day 14</t>
        </is>
      </c>
      <c r="B18" s="5" t="inlineStr">
        <is>
          <t>第2周</t>
        </is>
      </c>
      <c r="C18" s="5" t="inlineStr">
        <is>
          <t>增长验证</t>
        </is>
      </c>
      <c r="D18" s="5" t="inlineStr">
        <is>
          <t>发布 1 条内容并回复全部评论/私信；其中至少 3 天主动私信高意向用户并发送免费体验版。</t>
        </is>
      </c>
      <c r="E18" s="5" t="inlineStr">
        <is>
          <t>1 条内容、互动记录、1 次产品迭代</t>
        </is>
      </c>
      <c r="F18" s="5" t="inlineStr">
        <is>
          <t>小红书/微信/飞书</t>
        </is>
      </c>
      <c r="G18" s="26" t="n">
        <v>0</v>
      </c>
      <c r="H18" s="5" t="inlineStr">
        <is>
          <t>周内至少 1 篇 500+ 浏览、3 次咨询</t>
        </is>
      </c>
      <c r="I18" s="27" t="inlineStr">
        <is>
          <t>未开始</t>
        </is>
      </c>
      <c r="J18" s="5" t="inlineStr">
        <is>
          <t>创业者</t>
        </is>
      </c>
    </row>
    <row r="19">
      <c r="A19" s="5" t="inlineStr">
        <is>
          <t>Day 15</t>
        </is>
      </c>
      <c r="B19" s="5" t="inlineStr">
        <is>
          <t>第3周</t>
        </is>
      </c>
      <c r="C19" s="5" t="inlineStr">
        <is>
          <t>转化测试</t>
        </is>
      </c>
      <c r="D19" s="5" t="inlineStr">
        <is>
          <t>发布 1 条内容；回复私信；主动联系 2 位潜在客户；记录报价和成交阻力。</t>
        </is>
      </c>
      <c r="E19" s="5" t="inlineStr">
        <is>
          <t>咨询记录、报价记录、至少 1 单</t>
        </is>
      </c>
      <c r="F19" s="5" t="inlineStr">
        <is>
          <t>小红书/微信/面包多</t>
        </is>
      </c>
      <c r="G19" s="26" t="n">
        <v>0</v>
      </c>
      <c r="H19" s="5" t="inlineStr">
        <is>
          <t>20 份领取、5 次咨询、1 单</t>
        </is>
      </c>
      <c r="I19" s="27" t="inlineStr">
        <is>
          <t>未开始</t>
        </is>
      </c>
      <c r="J19" s="5" t="inlineStr">
        <is>
          <t>创业者</t>
        </is>
      </c>
    </row>
    <row r="20">
      <c r="A20" s="5" t="inlineStr">
        <is>
          <t>Day 16</t>
        </is>
      </c>
      <c r="B20" s="5" t="inlineStr">
        <is>
          <t>第3周</t>
        </is>
      </c>
      <c r="C20" s="5" t="inlineStr">
        <is>
          <t>转化测试</t>
        </is>
      </c>
      <c r="D20" s="5" t="inlineStr">
        <is>
          <t>发布 1 条内容；回复私信；主动联系 2 位潜在客户；记录报价和成交阻力。 上架 9.9 元引流品并发布置顶领取内容。</t>
        </is>
      </c>
      <c r="E20" s="5" t="inlineStr">
        <is>
          <t>咨询记录、报价记录、至少 1 单</t>
        </is>
      </c>
      <c r="F20" s="5" t="inlineStr">
        <is>
          <t>小红书/微信/面包多</t>
        </is>
      </c>
      <c r="G20" s="26" t="n">
        <v>0</v>
      </c>
      <c r="H20" s="5" t="inlineStr">
        <is>
          <t>20 份领取、5 次咨询、1 单</t>
        </is>
      </c>
      <c r="I20" s="27" t="inlineStr">
        <is>
          <t>未开始</t>
        </is>
      </c>
      <c r="J20" s="5" t="inlineStr">
        <is>
          <t>创业者</t>
        </is>
      </c>
    </row>
    <row r="21">
      <c r="A21" s="5" t="inlineStr">
        <is>
          <t>Day 17</t>
        </is>
      </c>
      <c r="B21" s="5" t="inlineStr">
        <is>
          <t>第3周</t>
        </is>
      </c>
      <c r="C21" s="5" t="inlineStr">
        <is>
          <t>转化测试</t>
        </is>
      </c>
      <c r="D21" s="5" t="inlineStr">
        <is>
          <t>发布 1 条内容；回复私信；主动联系 2 位潜在客户；记录报价和成交阻力。</t>
        </is>
      </c>
      <c r="E21" s="5" t="inlineStr">
        <is>
          <t>咨询记录、报价记录、至少 1 单</t>
        </is>
      </c>
      <c r="F21" s="5" t="inlineStr">
        <is>
          <t>小红书/微信/面包多</t>
        </is>
      </c>
      <c r="G21" s="26" t="n">
        <v>0</v>
      </c>
      <c r="H21" s="5" t="inlineStr">
        <is>
          <t>20 份领取、5 次咨询、1 单</t>
        </is>
      </c>
      <c r="I21" s="27" t="inlineStr">
        <is>
          <t>未开始</t>
        </is>
      </c>
      <c r="J21" s="5" t="inlineStr">
        <is>
          <t>创业者</t>
        </is>
      </c>
    </row>
    <row r="22">
      <c r="A22" s="5" t="inlineStr">
        <is>
          <t>Day 18</t>
        </is>
      </c>
      <c r="B22" s="5" t="inlineStr">
        <is>
          <t>第3周</t>
        </is>
      </c>
      <c r="C22" s="5" t="inlineStr">
        <is>
          <t>转化测试</t>
        </is>
      </c>
      <c r="D22" s="5" t="inlineStr">
        <is>
          <t>发布 1 条内容；回复私信；主动联系 2 位潜在客户；记录报价和成交阻力。</t>
        </is>
      </c>
      <c r="E22" s="5" t="inlineStr">
        <is>
          <t>咨询记录、报价记录、至少 1 单</t>
        </is>
      </c>
      <c r="F22" s="5" t="inlineStr">
        <is>
          <t>小红书/微信/面包多</t>
        </is>
      </c>
      <c r="G22" s="26" t="n">
        <v>0</v>
      </c>
      <c r="H22" s="5" t="inlineStr">
        <is>
          <t>20 份领取、5 次咨询、1 单</t>
        </is>
      </c>
      <c r="I22" s="27" t="inlineStr">
        <is>
          <t>未开始</t>
        </is>
      </c>
      <c r="J22" s="5" t="inlineStr">
        <is>
          <t>创业者</t>
        </is>
      </c>
    </row>
    <row r="23">
      <c r="A23" s="5" t="inlineStr">
        <is>
          <t>Day 19</t>
        </is>
      </c>
      <c r="B23" s="5" t="inlineStr">
        <is>
          <t>第3周</t>
        </is>
      </c>
      <c r="C23" s="5" t="inlineStr">
        <is>
          <t>转化测试</t>
        </is>
      </c>
      <c r="D23" s="5" t="inlineStr">
        <is>
          <t>发布 1 条内容；回复私信；主动联系 2 位潜在客户；记录报价和成交阻力。 上线 29.9 元月度订阅，先向已成交用户推荐。</t>
        </is>
      </c>
      <c r="E23" s="5" t="inlineStr">
        <is>
          <t>咨询记录、报价记录、至少 1 单</t>
        </is>
      </c>
      <c r="F23" s="5" t="inlineStr">
        <is>
          <t>小红书/微信/面包多</t>
        </is>
      </c>
      <c r="G23" s="26" t="n">
        <v>0</v>
      </c>
      <c r="H23" s="5" t="inlineStr">
        <is>
          <t>20 份领取、5 次咨询、1 单</t>
        </is>
      </c>
      <c r="I23" s="27" t="inlineStr">
        <is>
          <t>未开始</t>
        </is>
      </c>
      <c r="J23" s="5" t="inlineStr">
        <is>
          <t>创业者</t>
        </is>
      </c>
    </row>
    <row r="24">
      <c r="A24" s="5" t="inlineStr">
        <is>
          <t>Day 20</t>
        </is>
      </c>
      <c r="B24" s="5" t="inlineStr">
        <is>
          <t>第3周</t>
        </is>
      </c>
      <c r="C24" s="5" t="inlineStr">
        <is>
          <t>转化测试</t>
        </is>
      </c>
      <c r="D24" s="5" t="inlineStr">
        <is>
          <t>发布 1 条内容；回复私信；主动联系 2 位潜在客户；记录报价和成交阻力。</t>
        </is>
      </c>
      <c r="E24" s="5" t="inlineStr">
        <is>
          <t>咨询记录、报价记录、至少 1 单</t>
        </is>
      </c>
      <c r="F24" s="5" t="inlineStr">
        <is>
          <t>小红书/微信/面包多</t>
        </is>
      </c>
      <c r="G24" s="26" t="n">
        <v>0</v>
      </c>
      <c r="H24" s="5" t="inlineStr">
        <is>
          <t>20 份领取、5 次咨询、1 单</t>
        </is>
      </c>
      <c r="I24" s="27" t="inlineStr">
        <is>
          <t>未开始</t>
        </is>
      </c>
      <c r="J24" s="5" t="inlineStr">
        <is>
          <t>创业者</t>
        </is>
      </c>
    </row>
    <row r="25">
      <c r="A25" s="5" t="inlineStr">
        <is>
          <t>Day 21</t>
        </is>
      </c>
      <c r="B25" s="5" t="inlineStr">
        <is>
          <t>第3周</t>
        </is>
      </c>
      <c r="C25" s="5" t="inlineStr">
        <is>
          <t>转化测试</t>
        </is>
      </c>
      <c r="D25" s="5" t="inlineStr">
        <is>
          <t>发布 1 条内容；回复私信；主动联系 2 位潜在客户；记录报价和成交阻力。</t>
        </is>
      </c>
      <c r="E25" s="5" t="inlineStr">
        <is>
          <t>咨询记录、报价记录、至少 1 单</t>
        </is>
      </c>
      <c r="F25" s="5" t="inlineStr">
        <is>
          <t>小红书/微信/面包多</t>
        </is>
      </c>
      <c r="G25" s="26" t="n">
        <v>0</v>
      </c>
      <c r="H25" s="5" t="inlineStr">
        <is>
          <t>20 份领取、5 次咨询、1 单</t>
        </is>
      </c>
      <c r="I25" s="27" t="inlineStr">
        <is>
          <t>未开始</t>
        </is>
      </c>
      <c r="J25" s="5" t="inlineStr">
        <is>
          <t>创业者</t>
        </is>
      </c>
    </row>
    <row r="26">
      <c r="A26" s="5" t="inlineStr">
        <is>
          <t>Day 22</t>
        </is>
      </c>
      <c r="B26" s="5" t="inlineStr">
        <is>
          <t>第4周</t>
        </is>
      </c>
      <c r="C26" s="5" t="inlineStr">
        <is>
          <t>复盘与放大</t>
        </is>
      </c>
      <c r="D26" s="5" t="inlineStr">
        <is>
          <t>稳定发布 1 条内容；回复互动；优化最佳 SKU 详情页；收集好评或交付截图。</t>
        </is>
      </c>
      <c r="E26" s="5" t="inlineStr">
        <is>
          <t>30 条内容、复盘、2 个主推 SKU</t>
        </is>
      </c>
      <c r="F26" s="5" t="inlineStr">
        <is>
          <t>小红书/微信/飞书</t>
        </is>
      </c>
      <c r="G26" s="26" t="n">
        <v>0</v>
      </c>
      <c r="H26" s="5" t="inlineStr">
        <is>
          <t>累计 3 单、1 个订阅</t>
        </is>
      </c>
      <c r="I26" s="27" t="inlineStr">
        <is>
          <t>未开始</t>
        </is>
      </c>
      <c r="J26" s="5" t="inlineStr">
        <is>
          <t>创业者</t>
        </is>
      </c>
    </row>
    <row r="27">
      <c r="A27" s="5" t="inlineStr">
        <is>
          <t>Day 23</t>
        </is>
      </c>
      <c r="B27" s="5" t="inlineStr">
        <is>
          <t>第4周</t>
        </is>
      </c>
      <c r="C27" s="5" t="inlineStr">
        <is>
          <t>复盘与放大</t>
        </is>
      </c>
      <c r="D27" s="5" t="inlineStr">
        <is>
          <t>稳定发布 1 条内容；回复互动；优化最佳 SKU 详情页；收集好评或交付截图。</t>
        </is>
      </c>
      <c r="E27" s="5" t="inlineStr">
        <is>
          <t>30 条内容、复盘、2 个主推 SKU</t>
        </is>
      </c>
      <c r="F27" s="5" t="inlineStr">
        <is>
          <t>小红书/微信/飞书</t>
        </is>
      </c>
      <c r="G27" s="26" t="n">
        <v>0</v>
      </c>
      <c r="H27" s="5" t="inlineStr">
        <is>
          <t>累计 3 单、1 个订阅</t>
        </is>
      </c>
      <c r="I27" s="27" t="inlineStr">
        <is>
          <t>未开始</t>
        </is>
      </c>
      <c r="J27" s="5" t="inlineStr">
        <is>
          <t>创业者</t>
        </is>
      </c>
    </row>
    <row r="28">
      <c r="A28" s="5" t="inlineStr">
        <is>
          <t>Day 24</t>
        </is>
      </c>
      <c r="B28" s="5" t="inlineStr">
        <is>
          <t>第4周</t>
        </is>
      </c>
      <c r="C28" s="5" t="inlineStr">
        <is>
          <t>复盘与放大</t>
        </is>
      </c>
      <c r="D28" s="5" t="inlineStr">
        <is>
          <t>稳定发布 1 条内容；回复互动；优化最佳 SKU 详情页；收集好评或交付截图。</t>
        </is>
      </c>
      <c r="E28" s="5" t="inlineStr">
        <is>
          <t>30 条内容、复盘、2 个主推 SKU</t>
        </is>
      </c>
      <c r="F28" s="5" t="inlineStr">
        <is>
          <t>小红书/微信/飞书</t>
        </is>
      </c>
      <c r="G28" s="26" t="n">
        <v>0</v>
      </c>
      <c r="H28" s="5" t="inlineStr">
        <is>
          <t>累计 3 单、1 个订阅</t>
        </is>
      </c>
      <c r="I28" s="27" t="inlineStr">
        <is>
          <t>未开始</t>
        </is>
      </c>
      <c r="J28" s="5" t="inlineStr">
        <is>
          <t>创业者</t>
        </is>
      </c>
    </row>
    <row r="29">
      <c r="A29" s="5" t="inlineStr">
        <is>
          <t>Day 25</t>
        </is>
      </c>
      <c r="B29" s="5" t="inlineStr">
        <is>
          <t>第4周</t>
        </is>
      </c>
      <c r="C29" s="5" t="inlineStr">
        <is>
          <t>复盘与放大</t>
        </is>
      </c>
      <c r="D29" s="5" t="inlineStr">
        <is>
          <t>稳定发布 1 条内容；回复互动；优化最佳 SKU 详情页；收集好评或交付截图。 对 10 位问过问题但未成交的人做二次跟进。</t>
        </is>
      </c>
      <c r="E29" s="5" t="inlineStr">
        <is>
          <t>30 条内容、复盘、2 个主推 SKU</t>
        </is>
      </c>
      <c r="F29" s="5" t="inlineStr">
        <is>
          <t>小红书/微信/飞书</t>
        </is>
      </c>
      <c r="G29" s="26" t="n">
        <v>0</v>
      </c>
      <c r="H29" s="5" t="inlineStr">
        <is>
          <t>累计 3 单、1 个订阅</t>
        </is>
      </c>
      <c r="I29" s="27" t="inlineStr">
        <is>
          <t>未开始</t>
        </is>
      </c>
      <c r="J29" s="5" t="inlineStr">
        <is>
          <t>创业者</t>
        </is>
      </c>
    </row>
    <row r="30">
      <c r="A30" s="5" t="inlineStr">
        <is>
          <t>Day 26</t>
        </is>
      </c>
      <c r="B30" s="5" t="inlineStr">
        <is>
          <t>第4周</t>
        </is>
      </c>
      <c r="C30" s="5" t="inlineStr">
        <is>
          <t>复盘与放大</t>
        </is>
      </c>
      <c r="D30" s="5" t="inlineStr">
        <is>
          <t>稳定发布 1 条内容；回复互动；优化最佳 SKU 详情页；收集好评或交付截图。</t>
        </is>
      </c>
      <c r="E30" s="5" t="inlineStr">
        <is>
          <t>30 条内容、复盘、2 个主推 SKU</t>
        </is>
      </c>
      <c r="F30" s="5" t="inlineStr">
        <is>
          <t>小红书/微信/飞书</t>
        </is>
      </c>
      <c r="G30" s="26" t="n">
        <v>0</v>
      </c>
      <c r="H30" s="5" t="inlineStr">
        <is>
          <t>累计 3 单、1 个订阅</t>
        </is>
      </c>
      <c r="I30" s="27" t="inlineStr">
        <is>
          <t>未开始</t>
        </is>
      </c>
      <c r="J30" s="5" t="inlineStr">
        <is>
          <t>创业者</t>
        </is>
      </c>
    </row>
    <row r="31">
      <c r="A31" s="5" t="inlineStr">
        <is>
          <t>Day 27</t>
        </is>
      </c>
      <c r="B31" s="5" t="inlineStr">
        <is>
          <t>第4周</t>
        </is>
      </c>
      <c r="C31" s="5" t="inlineStr">
        <is>
          <t>复盘与放大</t>
        </is>
      </c>
      <c r="D31" s="5" t="inlineStr">
        <is>
          <t>稳定发布 1 条内容；回复互动；优化最佳 SKU 详情页；收集好评或交付截图。</t>
        </is>
      </c>
      <c r="E31" s="5" t="inlineStr">
        <is>
          <t>30 条内容、复盘、2 个主推 SKU</t>
        </is>
      </c>
      <c r="F31" s="5" t="inlineStr">
        <is>
          <t>小红书/微信/飞书</t>
        </is>
      </c>
      <c r="G31" s="26" t="n">
        <v>0</v>
      </c>
      <c r="H31" s="5" t="inlineStr">
        <is>
          <t>累计 3 单、1 个订阅</t>
        </is>
      </c>
      <c r="I31" s="27" t="inlineStr">
        <is>
          <t>未开始</t>
        </is>
      </c>
      <c r="J31" s="5" t="inlineStr">
        <is>
          <t>创业者</t>
        </is>
      </c>
    </row>
    <row r="32">
      <c r="A32" s="5" t="inlineStr">
        <is>
          <t>Day 28</t>
        </is>
      </c>
      <c r="B32" s="5" t="inlineStr">
        <is>
          <t>第4周</t>
        </is>
      </c>
      <c r="C32" s="5" t="inlineStr">
        <is>
          <t>复盘与放大</t>
        </is>
      </c>
      <c r="D32" s="5" t="inlineStr">
        <is>
          <t>稳定发布 1 条内容；回复互动；优化最佳 SKU 详情页；收集好评或交付截图。</t>
        </is>
      </c>
      <c r="E32" s="5" t="inlineStr">
        <is>
          <t>30 条内容、复盘、2 个主推 SKU</t>
        </is>
      </c>
      <c r="F32" s="5" t="inlineStr">
        <is>
          <t>小红书/微信/飞书</t>
        </is>
      </c>
      <c r="G32" s="26" t="n">
        <v>0</v>
      </c>
      <c r="H32" s="5" t="inlineStr">
        <is>
          <t>累计 3 单、1 个订阅</t>
        </is>
      </c>
      <c r="I32" s="27" t="inlineStr">
        <is>
          <t>未开始</t>
        </is>
      </c>
      <c r="J32" s="5" t="inlineStr">
        <is>
          <t>创业者</t>
        </is>
      </c>
    </row>
    <row r="33">
      <c r="A33" s="5" t="inlineStr">
        <is>
          <t>Day 29</t>
        </is>
      </c>
      <c r="B33" s="5" t="inlineStr">
        <is>
          <t>第4周</t>
        </is>
      </c>
      <c r="C33" s="5" t="inlineStr">
        <is>
          <t>复盘与放大</t>
        </is>
      </c>
      <c r="D33" s="5" t="inlineStr">
        <is>
          <t>稳定发布 1 条内容；回复互动；优化最佳 SKU 详情页；收集好评或交付截图。</t>
        </is>
      </c>
      <c r="E33" s="5" t="inlineStr">
        <is>
          <t>30 条内容、复盘、2 个主推 SKU</t>
        </is>
      </c>
      <c r="F33" s="5" t="inlineStr">
        <is>
          <t>小红书/微信/飞书</t>
        </is>
      </c>
      <c r="G33" s="26" t="n">
        <v>0</v>
      </c>
      <c r="H33" s="5" t="inlineStr">
        <is>
          <t>累计 3 单、1 个订阅</t>
        </is>
      </c>
      <c r="I33" s="27" t="inlineStr">
        <is>
          <t>未开始</t>
        </is>
      </c>
      <c r="J33" s="5" t="inlineStr">
        <is>
          <t>创业者</t>
        </is>
      </c>
    </row>
    <row r="34">
      <c r="A34" s="5" t="inlineStr">
        <is>
          <t>Day 30</t>
        </is>
      </c>
      <c r="B34" s="5" t="inlineStr">
        <is>
          <t>第4周</t>
        </is>
      </c>
      <c r="C34" s="5" t="inlineStr">
        <is>
          <t>复盘与放大</t>
        </is>
      </c>
      <c r="D34" s="5" t="inlineStr">
        <is>
          <t>稳定发布 1 条内容；回复互动；优化最佳 SKU 详情页；收集好评或交付截图。 完成 30 天复盘，确定 2 个主推 SKU和有效内容主题。</t>
        </is>
      </c>
      <c r="E34" s="5" t="inlineStr">
        <is>
          <t>30 条内容、复盘、2 个主推 SKU</t>
        </is>
      </c>
      <c r="F34" s="5" t="inlineStr">
        <is>
          <t>小红书/微信/飞书</t>
        </is>
      </c>
      <c r="G34" s="26" t="n">
        <v>0</v>
      </c>
      <c r="H34" s="5" t="inlineStr">
        <is>
          <t>累计 3 单、1 个订阅</t>
        </is>
      </c>
      <c r="I34" s="27" t="inlineStr">
        <is>
          <t>未开始</t>
        </is>
      </c>
      <c r="J34" s="5" t="inlineStr">
        <is>
          <t>创业者</t>
        </is>
      </c>
    </row>
  </sheetData>
  <autoFilter ref="A3:J34"/>
  <mergeCells count="2">
    <mergeCell ref="A1:J1"/>
    <mergeCell ref="A2:J2"/>
  </mergeCells>
  <conditionalFormatting sqref="I4:I34">
    <cfRule type="cellIs" priority="1" operator="equal" dxfId="1">
      <formula>"已完成"</formula>
    </cfRule>
    <cfRule type="cellIs" priority="2" operator="equal" dxfId="2">
      <formula>"已延期"</formula>
    </cfRule>
  </conditionalFormatting>
  <dataValidations count="1">
    <dataValidation sqref="I4:I34" showDropDown="0" showInputMessage="0" showErrorMessage="0" allowBlank="1" type="list">
      <formula1>"未开始,进行中,已完成,已延期"</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0" customWidth="1" min="1" max="1"/>
    <col width="34" customWidth="1" min="2" max="2"/>
    <col width="18" customWidth="1" min="3" max="3"/>
    <col width="18" customWidth="1" min="4" max="4"/>
    <col width="28" customWidth="1" min="5" max="5"/>
    <col width="28" customWidth="1" min="6" max="6"/>
  </cols>
  <sheetData>
    <row r="1" ht="32" customHeight="1">
      <c r="A1" s="1" t="inlineStr">
        <is>
          <t>11 指标看板</t>
        </is>
      </c>
    </row>
    <row r="2" ht="30" customHeight="1">
      <c r="A2" s="2" t="inlineStr">
        <is>
          <t>先看真实行为和现金流，再看播放量；指标必须能触发下一步动作。</t>
        </is>
      </c>
    </row>
    <row r="3" ht="28" customHeight="1">
      <c r="A3" s="3" t="inlineStr">
        <is>
          <t>指标</t>
        </is>
      </c>
      <c r="B3" s="3" t="inlineStr">
        <is>
          <t>定义</t>
        </is>
      </c>
      <c r="C3" s="3" t="inlineStr">
        <is>
          <t>30 天目标</t>
        </is>
      </c>
      <c r="D3" s="3" t="inlineStr">
        <is>
          <t>频率</t>
        </is>
      </c>
      <c r="E3" s="3" t="inlineStr">
        <is>
          <t>红线</t>
        </is>
      </c>
      <c r="F3" s="3" t="inlineStr">
        <is>
          <t>触发动作</t>
        </is>
      </c>
    </row>
    <row r="4">
      <c r="A4" s="5" t="inlineStr">
        <is>
          <t>内容发布数</t>
        </is>
      </c>
      <c r="B4" s="5" t="inlineStr">
        <is>
          <t>实际发布的小红书/公众号内容条数</t>
        </is>
      </c>
      <c r="C4" s="5" t="inlineStr">
        <is>
          <t>30 条/30 天</t>
        </is>
      </c>
      <c r="D4" s="5" t="inlineStr">
        <is>
          <t>每日</t>
        </is>
      </c>
      <c r="E4" s="5" t="inlineStr">
        <is>
          <t>连续 2 天为 0</t>
        </is>
      </c>
      <c r="F4" s="5" t="inlineStr">
        <is>
          <t>立即补发草稿或最低限度内容</t>
        </is>
      </c>
    </row>
    <row r="5">
      <c r="A5" s="5" t="inlineStr">
        <is>
          <t>内容有效率</t>
        </is>
      </c>
      <c r="B5" s="5" t="inlineStr">
        <is>
          <t>带来主页点击或咨询的内容占比</t>
        </is>
      </c>
      <c r="C5" s="5" t="inlineStr">
        <is>
          <t>≥10%</t>
        </is>
      </c>
      <c r="D5" s="5" t="inlineStr">
        <is>
          <t>每周</t>
        </is>
      </c>
      <c r="E5" s="5" t="inlineStr">
        <is>
          <t>低于 5%</t>
        </is>
      </c>
      <c r="F5" s="5" t="inlineStr">
        <is>
          <t>只保留最佳选题并改写标题/封面</t>
        </is>
      </c>
    </row>
    <row r="6">
      <c r="A6" s="5" t="inlineStr">
        <is>
          <t>主页点击</t>
        </is>
      </c>
      <c r="B6" s="5" t="inlineStr">
        <is>
          <t>内容带来的主页访问次数</t>
        </is>
      </c>
      <c r="C6" s="5" t="inlineStr">
        <is>
          <t>基准 240 次/月</t>
        </is>
      </c>
      <c r="D6" s="5" t="inlineStr">
        <is>
          <t>每日</t>
        </is>
      </c>
      <c r="E6" s="5" t="inlineStr">
        <is>
          <t>连续 3 天为 0</t>
        </is>
      </c>
      <c r="F6" s="5" t="inlineStr">
        <is>
          <t>检查钩子是否在正文而非结尾</t>
        </is>
      </c>
    </row>
    <row r="7">
      <c r="A7" s="5" t="inlineStr">
        <is>
          <t>咨询数</t>
        </is>
      </c>
      <c r="B7" s="5" t="inlineStr">
        <is>
          <t>私信、评论或微信中的有效咨询</t>
        </is>
      </c>
      <c r="C7" s="5" t="inlineStr">
        <is>
          <t>20 次/30 天</t>
        </is>
      </c>
      <c r="D7" s="5" t="inlineStr">
        <is>
          <t>每日</t>
        </is>
      </c>
      <c r="E7" s="5" t="inlineStr">
        <is>
          <t>7 天少于 2 次</t>
        </is>
      </c>
      <c r="F7" s="5" t="inlineStr">
        <is>
          <t>主动答疑 20 条热门笔记</t>
        </is>
      </c>
    </row>
    <row r="8">
      <c r="A8" s="5" t="inlineStr">
        <is>
          <t>成交数</t>
        </is>
      </c>
      <c r="B8" s="5" t="inlineStr">
        <is>
          <t>完成付款的订单数</t>
        </is>
      </c>
      <c r="C8" s="5" t="inlineStr">
        <is>
          <t>3 单/30 天</t>
        </is>
      </c>
      <c r="D8" s="5" t="inlineStr">
        <is>
          <t>每日</t>
        </is>
      </c>
      <c r="E8" s="5" t="inlineStr">
        <is>
          <t>Day 21 仍为 0</t>
        </is>
      </c>
      <c r="F8" s="5" t="inlineStr">
        <is>
          <t>免费诊断 5 位高意向用户</t>
        </is>
      </c>
    </row>
    <row r="9">
      <c r="A9" s="5" t="inlineStr">
        <is>
          <t>客单价</t>
        </is>
      </c>
      <c r="B9" s="5" t="inlineStr">
        <is>
          <t>成交金额/成交数</t>
        </is>
      </c>
      <c r="C9" s="5" t="inlineStr">
        <is>
          <t>≥29.9 元</t>
        </is>
      </c>
      <c r="D9" s="5" t="inlineStr">
        <is>
          <t>每日</t>
        </is>
      </c>
      <c r="E9" s="5" t="inlineStr">
        <is>
          <t>低于 19.9 元</t>
        </is>
      </c>
      <c r="F9" s="5" t="inlineStr">
        <is>
          <t>增加组合包和标准版推荐</t>
        </is>
      </c>
    </row>
    <row r="10">
      <c r="A10" s="5" t="inlineStr">
        <is>
          <t>退款率</t>
        </is>
      </c>
      <c r="B10" s="5" t="inlineStr">
        <is>
          <t>退款金额/毛收入</t>
        </is>
      </c>
      <c r="C10" s="5" t="inlineStr">
        <is>
          <t>≤5%</t>
        </is>
      </c>
      <c r="D10" s="5" t="inlineStr">
        <is>
          <t>每周</t>
        </is>
      </c>
      <c r="E10" s="5" t="inlineStr">
        <is>
          <t>高于 8%</t>
        </is>
      </c>
      <c r="F10" s="5" t="inlineStr">
        <is>
          <t>检查交付范围与宣传承诺</t>
        </is>
      </c>
    </row>
    <row r="11">
      <c r="A11" s="5" t="inlineStr">
        <is>
          <t>贡献利润</t>
        </is>
      </c>
      <c r="B11" s="5" t="inlineStr">
        <is>
          <t>净收入-平台费-履约成本</t>
        </is>
      </c>
      <c r="C11" s="5" t="inlineStr">
        <is>
          <t>&gt;0</t>
        </is>
      </c>
      <c r="D11" s="5" t="inlineStr">
        <is>
          <t>每周</t>
        </is>
      </c>
      <c r="E11" s="5" t="inlineStr">
        <is>
          <t>连续 2 周为负</t>
        </is>
      </c>
      <c r="F11" s="5" t="inlineStr">
        <is>
          <t>停止低毛利渠道并提高客单</t>
        </is>
      </c>
    </row>
    <row r="12">
      <c r="A12" s="5" t="inlineStr">
        <is>
          <t>CAC</t>
        </is>
      </c>
      <c r="B12" s="5" t="inlineStr">
        <is>
          <t>营销费用/新增订单</t>
        </is>
      </c>
      <c r="C12" s="5" t="inlineStr">
        <is>
          <t>&lt;单笔贡献利润</t>
        </is>
      </c>
      <c r="D12" s="5" t="inlineStr">
        <is>
          <t>每周</t>
        </is>
      </c>
      <c r="E12" s="5" t="inlineStr">
        <is>
          <t>连续 2 周高于 LTV</t>
        </is>
      </c>
      <c r="F12" s="5" t="inlineStr">
        <is>
          <t>暂停付费投放，改自然内容</t>
        </is>
      </c>
    </row>
    <row r="13">
      <c r="A13" s="5" t="inlineStr">
        <is>
          <t>LTV/CAC</t>
        </is>
      </c>
      <c r="B13" s="5" t="inlineStr">
        <is>
          <t>客户终身价值/获客成本</t>
        </is>
      </c>
      <c r="C13" s="5" t="inlineStr">
        <is>
          <t>≥2.0</t>
        </is>
      </c>
      <c r="D13" s="5" t="inlineStr">
        <is>
          <t>每月</t>
        </is>
      </c>
      <c r="E13" s="5" t="inlineStr">
        <is>
          <t>低于 1.2</t>
        </is>
      </c>
      <c r="F13" s="5" t="inlineStr">
        <is>
          <t>只保留自然流量和复购路径</t>
        </is>
      </c>
    </row>
    <row r="16" ht="24" customHeight="1">
      <c r="A16" s="17" t="inlineStr">
        <is>
          <t>7 日数据录入示例（黄色区域可改）</t>
        </is>
      </c>
    </row>
    <row r="17" ht="28" customHeight="1">
      <c r="A17" s="3" t="inlineStr">
        <is>
          <t>日期</t>
        </is>
      </c>
      <c r="B17" s="3" t="inlineStr">
        <is>
          <t>曝光</t>
        </is>
      </c>
      <c r="C17" s="3" t="inlineStr">
        <is>
          <t>主页点击</t>
        </is>
      </c>
      <c r="D17" s="3" t="inlineStr">
        <is>
          <t>咨询</t>
        </is>
      </c>
      <c r="E17" s="3" t="inlineStr">
        <is>
          <t>订单</t>
        </is>
      </c>
      <c r="F17" s="3" t="inlineStr">
        <is>
          <t>收入</t>
        </is>
      </c>
      <c r="G17" s="3" t="inlineStr">
        <is>
          <t>营销费用</t>
        </is>
      </c>
      <c r="H17" s="3" t="inlineStr">
        <is>
          <t>成交率</t>
        </is>
      </c>
      <c r="I17" s="3" t="inlineStr">
        <is>
          <t>CAC</t>
        </is>
      </c>
    </row>
    <row r="18">
      <c r="A18" s="5" t="inlineStr">
        <is>
          <t>第1天</t>
        </is>
      </c>
      <c r="B18" s="27" t="n">
        <v>0</v>
      </c>
      <c r="C18" s="27" t="n">
        <v>0</v>
      </c>
      <c r="D18" s="27" t="n">
        <v>0</v>
      </c>
      <c r="E18" s="27" t="n">
        <v>0</v>
      </c>
      <c r="F18" s="28" t="n">
        <v>0</v>
      </c>
      <c r="G18" s="28" t="n">
        <v>0</v>
      </c>
      <c r="H18" s="10">
        <f>IF(C18=0,0,E18/C18)</f>
        <v/>
      </c>
      <c r="I18" s="16">
        <f>IF(E18=0,0,G18/E18)</f>
        <v/>
      </c>
    </row>
    <row r="19">
      <c r="A19" s="5" t="inlineStr">
        <is>
          <t>第2天</t>
        </is>
      </c>
      <c r="B19" s="27" t="n">
        <v>0</v>
      </c>
      <c r="C19" s="27" t="n">
        <v>0</v>
      </c>
      <c r="D19" s="27" t="n">
        <v>0</v>
      </c>
      <c r="E19" s="27" t="n">
        <v>0</v>
      </c>
      <c r="F19" s="28" t="n">
        <v>0</v>
      </c>
      <c r="G19" s="28" t="n">
        <v>0</v>
      </c>
      <c r="H19" s="10">
        <f>IF(C19=0,0,E19/C19)</f>
        <v/>
      </c>
      <c r="I19" s="16">
        <f>IF(E19=0,0,G19/E19)</f>
        <v/>
      </c>
    </row>
    <row r="20">
      <c r="A20" s="5" t="inlineStr">
        <is>
          <t>第3天</t>
        </is>
      </c>
      <c r="B20" s="27" t="n">
        <v>0</v>
      </c>
      <c r="C20" s="27" t="n">
        <v>0</v>
      </c>
      <c r="D20" s="27" t="n">
        <v>0</v>
      </c>
      <c r="E20" s="27" t="n">
        <v>0</v>
      </c>
      <c r="F20" s="28" t="n">
        <v>0</v>
      </c>
      <c r="G20" s="28" t="n">
        <v>0</v>
      </c>
      <c r="H20" s="10">
        <f>IF(C20=0,0,E20/C20)</f>
        <v/>
      </c>
      <c r="I20" s="16">
        <f>IF(E20=0,0,G20/E20)</f>
        <v/>
      </c>
    </row>
    <row r="21">
      <c r="A21" s="5" t="inlineStr">
        <is>
          <t>第4天</t>
        </is>
      </c>
      <c r="B21" s="27" t="n">
        <v>0</v>
      </c>
      <c r="C21" s="27" t="n">
        <v>0</v>
      </c>
      <c r="D21" s="27" t="n">
        <v>0</v>
      </c>
      <c r="E21" s="27" t="n">
        <v>0</v>
      </c>
      <c r="F21" s="28" t="n">
        <v>0</v>
      </c>
      <c r="G21" s="28" t="n">
        <v>0</v>
      </c>
      <c r="H21" s="10">
        <f>IF(C21=0,0,E21/C21)</f>
        <v/>
      </c>
      <c r="I21" s="16">
        <f>IF(E21=0,0,G21/E21)</f>
        <v/>
      </c>
    </row>
    <row r="22">
      <c r="A22" s="5" t="inlineStr">
        <is>
          <t>第5天</t>
        </is>
      </c>
      <c r="B22" s="27" t="n">
        <v>0</v>
      </c>
      <c r="C22" s="27" t="n">
        <v>0</v>
      </c>
      <c r="D22" s="27" t="n">
        <v>0</v>
      </c>
      <c r="E22" s="27" t="n">
        <v>0</v>
      </c>
      <c r="F22" s="28" t="n">
        <v>0</v>
      </c>
      <c r="G22" s="28" t="n">
        <v>0</v>
      </c>
      <c r="H22" s="10">
        <f>IF(C22=0,0,E22/C22)</f>
        <v/>
      </c>
      <c r="I22" s="16">
        <f>IF(E22=0,0,G22/E22)</f>
        <v/>
      </c>
    </row>
    <row r="23">
      <c r="A23" s="5" t="inlineStr">
        <is>
          <t>第6天</t>
        </is>
      </c>
      <c r="B23" s="27" t="n">
        <v>0</v>
      </c>
      <c r="C23" s="27" t="n">
        <v>0</v>
      </c>
      <c r="D23" s="27" t="n">
        <v>0</v>
      </c>
      <c r="E23" s="27" t="n">
        <v>0</v>
      </c>
      <c r="F23" s="28" t="n">
        <v>0</v>
      </c>
      <c r="G23" s="28" t="n">
        <v>0</v>
      </c>
      <c r="H23" s="10">
        <f>IF(C23=0,0,E23/C23)</f>
        <v/>
      </c>
      <c r="I23" s="16">
        <f>IF(E23=0,0,G23/E23)</f>
        <v/>
      </c>
    </row>
    <row r="24">
      <c r="A24" s="5" t="inlineStr">
        <is>
          <t>第7天</t>
        </is>
      </c>
      <c r="B24" s="27" t="n">
        <v>0</v>
      </c>
      <c r="C24" s="27" t="n">
        <v>0</v>
      </c>
      <c r="D24" s="27" t="n">
        <v>0</v>
      </c>
      <c r="E24" s="27" t="n">
        <v>0</v>
      </c>
      <c r="F24" s="28" t="n">
        <v>0</v>
      </c>
      <c r="G24" s="28" t="n">
        <v>0</v>
      </c>
      <c r="H24" s="10">
        <f>IF(C24=0,0,E24/C24)</f>
        <v/>
      </c>
      <c r="I24" s="16">
        <f>IF(E24=0,0,G24/E24)</f>
        <v/>
      </c>
    </row>
  </sheetData>
  <autoFilter ref="A17:I24"/>
  <mergeCells count="3">
    <mergeCell ref="A2:F2"/>
    <mergeCell ref="A16:F16"/>
    <mergeCell ref="A1:F1"/>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J24"/>
  <sheetViews>
    <sheetView showGridLines="0"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2" customWidth="1" min="4" max="4"/>
    <col width="10" customWidth="1" min="5" max="5"/>
    <col width="28" customWidth="1" min="6" max="6"/>
    <col width="34" customWidth="1" min="7" max="7"/>
    <col width="34" customWidth="1" min="8" max="8"/>
    <col width="14" customWidth="1" min="9" max="9"/>
    <col width="14" customWidth="1" min="10" max="10"/>
  </cols>
  <sheetData>
    <row r="1" ht="32" customHeight="1">
      <c r="A1" s="1" t="inlineStr">
        <is>
          <t>12 风险与合规审计</t>
        </is>
      </c>
    </row>
    <row r="2" ht="30" customHeight="1">
      <c r="A2" s="2" t="inlineStr">
        <is>
          <t>风险管理采用概率 × 影响；高严重度项必须在放大投放或扩 SKU 前处理。</t>
        </is>
      </c>
    </row>
    <row r="3" ht="28" customHeight="1">
      <c r="A3" s="3" t="inlineStr">
        <is>
          <t>风险</t>
        </is>
      </c>
      <c r="B3" s="3" t="inlineStr">
        <is>
          <t>概率(1-5)</t>
        </is>
      </c>
      <c r="C3" s="3" t="inlineStr">
        <is>
          <t>影响(1-5)</t>
        </is>
      </c>
      <c r="D3" s="3" t="inlineStr">
        <is>
          <t>严重度</t>
        </is>
      </c>
      <c r="E3" s="3" t="inlineStr">
        <is>
          <t>等级</t>
        </is>
      </c>
      <c r="F3" s="3" t="inlineStr">
        <is>
          <t>触发信号</t>
        </is>
      </c>
      <c r="G3" s="3" t="inlineStr">
        <is>
          <t>预防措施</t>
        </is>
      </c>
      <c r="H3" s="3" t="inlineStr">
        <is>
          <t>应急动作</t>
        </is>
      </c>
      <c r="I3" s="3" t="inlineStr">
        <is>
          <t>负责人</t>
        </is>
      </c>
      <c r="J3" s="3" t="inlineStr">
        <is>
          <t>复核日期</t>
        </is>
      </c>
    </row>
    <row r="4">
      <c r="A4" s="5" t="inlineStr">
        <is>
          <t>只发内容不接单</t>
        </is>
      </c>
      <c r="B4" s="27" t="n">
        <v>4</v>
      </c>
      <c r="C4" s="27" t="n">
        <v>5</v>
      </c>
      <c r="D4" s="29">
        <f>B4*C4</f>
        <v/>
      </c>
      <c r="E4" s="23">
        <f>IF(D4&gt;=15,"高",IF(D4&gt;=8,"中","低"))</f>
        <v/>
      </c>
      <c r="F4" s="5" t="inlineStr">
        <is>
          <t>有浏览但无咨询/订单</t>
        </is>
      </c>
      <c r="G4" s="5" t="inlineStr">
        <is>
          <t>每个内容入口统一指向主页、置顶和文末购买链接</t>
        </is>
      </c>
      <c r="H4" s="5" t="inlineStr">
        <is>
          <t>主动私信 20 位提问用户，先换取真实反馈</t>
        </is>
      </c>
      <c r="I4" s="5" t="inlineStr">
        <is>
          <t>创业者</t>
        </is>
      </c>
      <c r="J4" s="5" t="inlineStr">
        <is>
          <t>每周日</t>
        </is>
      </c>
    </row>
    <row r="5">
      <c r="A5" s="5" t="inlineStr">
        <is>
          <t>低价代做挤占时间</t>
        </is>
      </c>
      <c r="B5" s="27" t="n">
        <v>3</v>
      </c>
      <c r="C5" s="27" t="n">
        <v>5</v>
      </c>
      <c r="D5" s="29">
        <f>B5*C5</f>
        <v/>
      </c>
      <c r="E5" s="23">
        <f>IF(D5&gt;=15,"高",IF(D5&gt;=8,"中","低"))</f>
        <v/>
      </c>
      <c r="F5" s="5" t="inlineStr">
        <is>
          <t>改稿超过 3 轮且仍在低价订单</t>
        </is>
      </c>
      <c r="G5" s="5" t="inlineStr">
        <is>
          <t>只卖套餐，写明 48 小时交付和 3 轮修改</t>
        </is>
      </c>
      <c r="H5" s="5" t="inlineStr">
        <is>
          <t>暂停接单，把流程模板化后再恢复</t>
        </is>
      </c>
      <c r="I5" s="5" t="inlineStr">
        <is>
          <t>交付负责人</t>
        </is>
      </c>
      <c r="J5" s="5" t="inlineStr">
        <is>
          <t>每周日</t>
        </is>
      </c>
    </row>
    <row r="6">
      <c r="A6" s="5" t="inlineStr">
        <is>
          <t>内容与产品失衡</t>
        </is>
      </c>
      <c r="B6" s="27" t="n">
        <v>3</v>
      </c>
      <c r="C6" s="27" t="n">
        <v>4</v>
      </c>
      <c r="D6" s="29">
        <f>B6*C6</f>
        <v/>
      </c>
      <c r="E6" s="23">
        <f>IF(D6&gt;=15,"高",IF(D6&gt;=8,"中","低"))</f>
        <v/>
      </c>
      <c r="F6" s="5" t="inlineStr">
        <is>
          <t>连续 3 天没有产品更新或客户跟进</t>
        </is>
      </c>
      <c r="G6" s="5" t="inlineStr">
        <is>
          <t>每日固定 30 分钟产品/成交时间</t>
        </is>
      </c>
      <c r="H6" s="5" t="inlineStr">
        <is>
          <t>暂停资讯号 1 天，只处理产品和客户</t>
        </is>
      </c>
      <c r="I6" s="5" t="inlineStr">
        <is>
          <t>创业者</t>
        </is>
      </c>
      <c r="J6" s="5" t="inlineStr">
        <is>
          <t>每周日</t>
        </is>
      </c>
    </row>
    <row r="7">
      <c r="A7" s="5" t="inlineStr">
        <is>
          <t>依赖单一 AI 工具</t>
        </is>
      </c>
      <c r="B7" s="27" t="n">
        <v>3</v>
      </c>
      <c r="C7" s="27" t="n">
        <v>3</v>
      </c>
      <c r="D7" s="29">
        <f>B7*C7</f>
        <v/>
      </c>
      <c r="E7" s="23">
        <f>IF(D7&gt;=15,"高",IF(D7&gt;=8,"中","低"))</f>
        <v/>
      </c>
      <c r="F7" s="5" t="inlineStr">
        <is>
          <t>工具限流导致断更或无法交付</t>
        </is>
      </c>
      <c r="G7" s="5" t="inlineStr">
        <is>
          <t>每个任务保留 1 个备用工具</t>
        </is>
      </c>
      <c r="H7" s="5" t="inlineStr">
        <is>
          <t>切换备用工具并记录替代流程</t>
        </is>
      </c>
      <c r="I7" s="5" t="inlineStr">
        <is>
          <t>创业者</t>
        </is>
      </c>
      <c r="J7" s="5" t="inlineStr">
        <is>
          <t>每月 1 日</t>
        </is>
      </c>
    </row>
    <row r="8">
      <c r="A8" s="5" t="inlineStr">
        <is>
          <t>版权与原创风险</t>
        </is>
      </c>
      <c r="B8" s="27" t="n">
        <v>3</v>
      </c>
      <c r="C8" s="27" t="n">
        <v>5</v>
      </c>
      <c r="D8" s="29">
        <f>B8*C8</f>
        <v/>
      </c>
      <c r="E8" s="23">
        <f>IF(D8&gt;=15,"高",IF(D8&gt;=8,"中","低"))</f>
        <v/>
      </c>
      <c r="F8" s="5" t="inlineStr">
        <is>
          <t>直接搬运他人文案、图片或字体</t>
        </is>
      </c>
      <c r="G8" s="5" t="inlineStr">
        <is>
          <t>只用免费商用素材；改写并注明来源</t>
        </is>
      </c>
      <c r="H8" s="5" t="inlineStr">
        <is>
          <t>下架争议内容并重新制作</t>
        </is>
      </c>
      <c r="I8" s="5" t="inlineStr">
        <is>
          <t>内容负责人</t>
        </is>
      </c>
      <c r="J8" s="5" t="inlineStr">
        <is>
          <t>每月 1 日</t>
        </is>
      </c>
    </row>
    <row r="9">
      <c r="A9" s="5" t="inlineStr">
        <is>
          <t>夸大宣传与退款纠纷</t>
        </is>
      </c>
      <c r="B9" s="27" t="n">
        <v>3</v>
      </c>
      <c r="C9" s="27" t="n">
        <v>5</v>
      </c>
      <c r="D9" s="29">
        <f>B9*C9</f>
        <v/>
      </c>
      <c r="E9" s="23">
        <f>IF(D9&gt;=15,"高",IF(D9&gt;=8,"中","低"))</f>
        <v/>
      </c>
      <c r="F9" s="5" t="inlineStr">
        <is>
          <t>承诺销量、爆款或保证结果</t>
        </is>
      </c>
      <c r="G9" s="5" t="inlineStr">
        <is>
          <t>不承诺具体销量；售后规则写进详情页</t>
        </is>
      </c>
      <c r="H9" s="5" t="inlineStr">
        <is>
          <t>停止相关话术，主动处理退款</t>
        </is>
      </c>
      <c r="I9" s="5" t="inlineStr">
        <is>
          <t>创业者</t>
        </is>
      </c>
      <c r="J9" s="5" t="inlineStr">
        <is>
          <t>上新前</t>
        </is>
      </c>
    </row>
    <row r="10">
      <c r="A10" s="5" t="inlineStr">
        <is>
          <t>平台规则变化</t>
        </is>
      </c>
      <c r="B10" s="27" t="n">
        <v>3</v>
      </c>
      <c r="C10" s="27" t="n">
        <v>4</v>
      </c>
      <c r="D10" s="29">
        <f>B10*C10</f>
        <v/>
      </c>
      <c r="E10" s="23">
        <f>IF(D10&gt;=15,"高",IF(D10&gt;=8,"中","低"))</f>
        <v/>
      </c>
      <c r="F10" s="5" t="inlineStr">
        <is>
          <t>私信引流或店铺类目被限制</t>
        </is>
      </c>
      <c r="G10" s="5" t="inlineStr">
        <is>
          <t>不在私信高频发微信号；关注平台提示</t>
        </is>
      </c>
      <c r="H10" s="5" t="inlineStr">
        <is>
          <t>切换面包多/爱发电或内容渠道</t>
        </is>
      </c>
      <c r="I10" s="5" t="inlineStr">
        <is>
          <t>渠道负责人</t>
        </is>
      </c>
      <c r="J10" s="5" t="inlineStr">
        <is>
          <t>每周一</t>
        </is>
      </c>
    </row>
    <row r="11">
      <c r="A11" s="5" t="inlineStr">
        <is>
          <t>数据隐私风险</t>
        </is>
      </c>
      <c r="B11" s="27" t="n">
        <v>2</v>
      </c>
      <c r="C11" s="27" t="n">
        <v>4</v>
      </c>
      <c r="D11" s="29">
        <f>B11*C11</f>
        <v/>
      </c>
      <c r="E11" s="23">
        <f>IF(D11&gt;=15,"高",IF(D11&gt;=8,"中","低"))</f>
        <v/>
      </c>
      <c r="F11" s="5" t="inlineStr">
        <is>
          <t>收集联系方式或客户资料无授权</t>
        </is>
      </c>
      <c r="G11" s="5" t="inlineStr">
        <is>
          <t>最小化收集；明确用途；不转卖数据</t>
        </is>
      </c>
      <c r="H11" s="5" t="inlineStr">
        <is>
          <t>删除无关数据并补充告知</t>
        </is>
      </c>
      <c r="I11" s="5" t="inlineStr">
        <is>
          <t>创业者</t>
        </is>
      </c>
      <c r="J11" s="5" t="inlineStr">
        <is>
          <t>每月 1 日</t>
        </is>
      </c>
    </row>
    <row r="12">
      <c r="A12" s="5" t="inlineStr">
        <is>
          <t>现金流误判</t>
        </is>
      </c>
      <c r="B12" s="27" t="n">
        <v>3</v>
      </c>
      <c r="C12" s="27" t="n">
        <v>4</v>
      </c>
      <c r="D12" s="29">
        <f>B12*C12</f>
        <v/>
      </c>
      <c r="E12" s="23">
        <f>IF(D12&gt;=15,"高",IF(D12&gt;=8,"中","低"))</f>
        <v/>
      </c>
      <c r="F12" s="5" t="inlineStr">
        <is>
          <t>只看收入，不看平台费、退款和工具费</t>
        </is>
      </c>
      <c r="G12" s="5" t="inlineStr">
        <is>
          <t>每周更新单位经济模型</t>
        </is>
      </c>
      <c r="H12" s="5" t="inlineStr">
        <is>
          <t>减少非必要工具和投放</t>
        </is>
      </c>
      <c r="I12" s="5" t="inlineStr">
        <is>
          <t>财务负责人</t>
        </is>
      </c>
      <c r="J12" s="5" t="inlineStr">
        <is>
          <t>每周日</t>
        </is>
      </c>
    </row>
    <row r="13">
      <c r="A13" s="5" t="inlineStr">
        <is>
          <t>过早扩 SKU</t>
        </is>
      </c>
      <c r="B13" s="27" t="n">
        <v>4</v>
      </c>
      <c r="C13" s="27" t="n">
        <v>3</v>
      </c>
      <c r="D13" s="29">
        <f>B13*C13</f>
        <v/>
      </c>
      <c r="E13" s="23">
        <f>IF(D13&gt;=15,"高",IF(D13&gt;=8,"中","低"))</f>
        <v/>
      </c>
      <c r="F13" s="5" t="inlineStr">
        <is>
          <t>2 个主推 SKU 未稳定就新增产品</t>
        </is>
      </c>
      <c r="G13" s="5" t="inlineStr">
        <is>
          <t>首月最多主推 2 个 SKU，其余只做后台测试</t>
        </is>
      </c>
      <c r="H13" s="5" t="inlineStr">
        <is>
          <t>冻结新品，集中优化出单产品的详情页</t>
        </is>
      </c>
      <c r="I13" s="5" t="inlineStr">
        <is>
          <t>创业者</t>
        </is>
      </c>
      <c r="J13" s="5" t="inlineStr">
        <is>
          <t>每两周</t>
        </is>
      </c>
    </row>
    <row r="16" ht="24" customHeight="1">
      <c r="A16" s="17" t="inlineStr">
        <is>
          <t>合规底线清单</t>
        </is>
      </c>
    </row>
    <row r="17" ht="28" customHeight="1">
      <c r="A17" s="3" t="inlineStr">
        <is>
          <t>项目</t>
        </is>
      </c>
      <c r="B17" s="3" t="inlineStr">
        <is>
          <t>要求</t>
        </is>
      </c>
      <c r="C17" s="3" t="inlineStr">
        <is>
          <t>频率</t>
        </is>
      </c>
    </row>
    <row r="18">
      <c r="A18" s="5" t="inlineStr">
        <is>
          <t>经营范围</t>
        </is>
      </c>
      <c r="B18" s="5" t="inlineStr">
        <is>
          <t>早期可用个人身份在平台小规模经营；连续 2-3 个月稳定出单后评估个体工商户。</t>
        </is>
      </c>
      <c r="C18" s="5" t="inlineStr">
        <is>
          <t>当月复核</t>
        </is>
      </c>
    </row>
    <row r="19">
      <c r="A19" s="5" t="inlineStr">
        <is>
          <t>收入记录</t>
        </is>
      </c>
      <c r="B19" s="5" t="inlineStr">
        <is>
          <t>从第一天记录日期、平台、金额、客户和退款。</t>
        </is>
      </c>
      <c r="C19" s="5" t="inlineStr">
        <is>
          <t>每日</t>
        </is>
      </c>
    </row>
    <row r="20">
      <c r="A20" s="5" t="inlineStr">
        <is>
          <t>版权</t>
        </is>
      </c>
      <c r="B20" s="5" t="inlineStr">
        <is>
          <t>不搬运他人文案；图片和字体只用免费商用或已授权素材。</t>
        </is>
      </c>
      <c r="C20" s="5" t="inlineStr">
        <is>
          <t>每次上新</t>
        </is>
      </c>
    </row>
    <row r="21">
      <c r="A21" s="5" t="inlineStr">
        <is>
          <t>AI 标识</t>
        </is>
      </c>
      <c r="B21" s="5" t="inlineStr">
        <is>
          <t>按平台要求标注 AI 生成或 AI 辅助。</t>
        </is>
      </c>
      <c r="C21" s="5" t="inlineStr">
        <is>
          <t>每次发布</t>
        </is>
      </c>
    </row>
    <row r="22">
      <c r="A22" s="5" t="inlineStr">
        <is>
          <t>宣传合规</t>
        </is>
      </c>
      <c r="B22" s="5" t="inlineStr">
        <is>
          <t>不承诺销量、爆款、保证收益；不写绝对化用语。</t>
        </is>
      </c>
      <c r="C22" s="5" t="inlineStr">
        <is>
          <t>每次发布</t>
        </is>
      </c>
    </row>
    <row r="23">
      <c r="A23" s="5" t="inlineStr">
        <is>
          <t>退款政策</t>
        </is>
      </c>
      <c r="B23" s="5" t="inlineStr">
        <is>
          <t>以平台规则为准；详情页写清数字商品交付和售后边界。</t>
        </is>
      </c>
      <c r="C23" s="5" t="inlineStr">
        <is>
          <t>每次上新</t>
        </is>
      </c>
    </row>
    <row r="24">
      <c r="A24" s="5" t="inlineStr">
        <is>
          <t>私域引流</t>
        </is>
      </c>
      <c r="B24" s="5" t="inlineStr">
        <is>
          <t>遵守平台私信和联系方式规则，避免高频发送微信号。</t>
        </is>
      </c>
      <c r="C24" s="5" t="inlineStr">
        <is>
          <t>每周</t>
        </is>
      </c>
    </row>
  </sheetData>
  <autoFilter ref="A17:C24"/>
  <mergeCells count="3">
    <mergeCell ref="A16:J16"/>
    <mergeCell ref="A1:J1"/>
    <mergeCell ref="A2:J2"/>
  </mergeCells>
  <conditionalFormatting sqref="D4:D13">
    <cfRule type="colorScale" priority="1">
      <colorScale>
        <cfvo type="num" val="1"/>
        <cfvo type="num" val="9"/>
        <cfvo type="num" val="25"/>
        <color rgb="0063BE7B"/>
        <color rgb="00FFEB84"/>
        <color rgb="00F8696B"/>
      </colorScale>
    </cfRule>
  </conditionalFormatting>
  <conditionalFormatting sqref="E4:E13">
    <cfRule type="cellIs" priority="2" operator="equal" dxfId="2">
      <formula>"高"</formula>
    </cfRule>
    <cfRule type="cellIs" priority="3" operator="equal" dxfId="3">
      <formula>"中"</formula>
    </cfRule>
    <cfRule type="cellIs" priority="4" operator="equal" dxfId="1">
      <formula>"低"</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10" customWidth="1" min="1" max="1"/>
    <col width="16" customWidth="1" min="2" max="2"/>
    <col width="34" customWidth="1" min="3" max="3"/>
    <col width="34" customWidth="1" min="4" max="4"/>
    <col width="20" customWidth="1" min="5" max="5"/>
    <col width="14" customWidth="1" min="6" max="6"/>
  </cols>
  <sheetData>
    <row r="1" ht="32" customHeight="1">
      <c r="A1" s="1" t="inlineStr">
        <is>
          <t>13 原手册映射</t>
        </is>
      </c>
    </row>
    <row r="2" ht="30" customHeight="1">
      <c r="A2" s="2" t="inlineStr">
        <is>
          <t>逐章保证分析可追溯：原手册负责执行细节，本工作簿负责商业判断、优先排序和验证边界。</t>
        </is>
      </c>
    </row>
    <row r="3" ht="28" customHeight="1">
      <c r="A3" s="3" t="inlineStr">
        <is>
          <t>模块</t>
        </is>
      </c>
      <c r="B3" s="3" t="inlineStr">
        <is>
          <t>章节/行号</t>
        </is>
      </c>
      <c r="C3" s="3" t="inlineStr">
        <is>
          <t>原文核心</t>
        </is>
      </c>
      <c r="D3" s="3" t="inlineStr">
        <is>
          <t>顾问判断</t>
        </is>
      </c>
      <c r="E3" s="3" t="inlineStr">
        <is>
          <t>采用方式</t>
        </is>
      </c>
      <c r="F3" s="3" t="inlineStr">
        <is>
          <t>优先级</t>
        </is>
      </c>
    </row>
    <row r="4">
      <c r="A4" s="5" t="inlineStr">
        <is>
          <t>一</t>
        </is>
      </c>
      <c r="B4" s="5" t="inlineStr">
        <is>
          <t>选品策略，行 189-299</t>
        </is>
      </c>
      <c r="C4" s="5" t="inlineStr">
        <is>
          <t>四维打分、14 个候选商品、5 个首批 SKU、飞书+PDF 载体。</t>
        </is>
      </c>
      <c r="D4" s="5" t="inlineStr">
        <is>
          <t>原手册侧重可做性和执行门槛，缺少毛利、复购和交付负荷权重。</t>
        </is>
      </c>
      <c r="E4" s="5" t="inlineStr">
        <is>
          <t>保留 5 个 SKU；新增加权选品矩阵，先用 SKU 1 破冰、SKU 3 赚利润。</t>
        </is>
      </c>
      <c r="F4" s="5" t="inlineStr">
        <is>
          <t>最高</t>
        </is>
      </c>
    </row>
    <row r="5">
      <c r="A5" s="5" t="inlineStr">
        <is>
          <t>二</t>
        </is>
      </c>
      <c r="B5" s="5" t="inlineStr">
        <is>
          <t>产品制作，行 300-477</t>
        </is>
      </c>
      <c r="C5" s="5" t="inlineStr">
        <is>
          <t>种草文模板、代做服务、工作流包、交付模板和报价。</t>
        </is>
      </c>
      <c r="D5" s="5" t="inlineStr">
        <is>
          <t>制作流程完整，但代做是人力型收入，容易被低价改稿拖住。</t>
        </is>
      </c>
      <c r="E5" s="5" t="inlineStr">
        <is>
          <t>标准品优先；代做只作为后端测试，明确 3 轮修改和 48 小时交付。</t>
        </is>
      </c>
      <c r="F5" s="5" t="inlineStr">
        <is>
          <t>高</t>
        </is>
      </c>
    </row>
    <row r="6">
      <c r="A6" s="5" t="inlineStr">
        <is>
          <t>三</t>
        </is>
      </c>
      <c r="B6" s="5" t="inlineStr">
        <is>
          <t>上架销售，行 479-580</t>
        </is>
      </c>
      <c r="C6" s="5" t="inlineStr">
        <is>
          <t>面包多/爱发电主阵地，小红书店铺同步，微信私域承接。</t>
        </is>
      </c>
      <c r="D6" s="5" t="inlineStr">
        <is>
          <t>平台选择合理，但抽佣和类目规则需实时核验。</t>
        </is>
      </c>
      <c r="E6" s="5" t="inlineStr">
        <is>
          <t>所有成交入口统一；首月只上架 2 个 SKU 并测试自动发货。</t>
        </is>
      </c>
      <c r="F6" s="5" t="inlineStr">
        <is>
          <t>高</t>
        </is>
      </c>
    </row>
    <row r="7">
      <c r="A7" s="5" t="inlineStr">
        <is>
          <t>四</t>
        </is>
      </c>
      <c r="B7" s="5" t="inlineStr">
        <is>
          <t>引流体系，行 582-758</t>
        </is>
      </c>
      <c r="C7" s="5" t="inlineStr">
        <is>
          <t>AI 资讯号做曝光，垂直内容做信任，知识付费做筛选。</t>
        </is>
      </c>
      <c r="D7" s="5" t="inlineStr">
        <is>
          <t>内容量设计足够，但风险是曝光多、购买入口弱。</t>
        </is>
      </c>
      <c r="E7" s="5" t="inlineStr">
        <is>
          <t>每条内容只保留一个核心钩子；每周复盘带来咨询的内容。</t>
        </is>
      </c>
      <c r="F7" s="5" t="inlineStr">
        <is>
          <t>最高</t>
        </is>
      </c>
    </row>
    <row r="8">
      <c r="A8" s="5" t="inlineStr">
        <is>
          <t>五</t>
        </is>
      </c>
      <c r="B8" s="5" t="inlineStr">
        <is>
          <t>30 天计划，行 760-895</t>
        </is>
      </c>
      <c r="C8" s="5" t="inlineStr">
        <is>
          <t>前 7 天逐日，后 3 周按最低指标推进。</t>
        </is>
      </c>
      <c r="D8" s="5" t="inlineStr">
        <is>
          <t>目标门槛低，适合验证但不证明可规模化。</t>
        </is>
      </c>
      <c r="E8" s="5" t="inlineStr">
        <is>
          <t>保留最低指标，同时增加 CAC、贡献利润和回本订单监控。</t>
        </is>
      </c>
      <c r="F8" s="5" t="inlineStr">
        <is>
          <t>最高</t>
        </is>
      </c>
    </row>
    <row r="9">
      <c r="A9" s="5" t="inlineStr">
        <is>
          <t>六</t>
        </is>
      </c>
      <c r="B9" s="5" t="inlineStr">
        <is>
          <t>每日 SOP，行 896-935</t>
        </is>
      </c>
      <c r="C9" s="5" t="inlineStr">
        <is>
          <t>工作日 2 小时、周末 4 小时、最低限度日 30 分钟。</t>
        </is>
      </c>
      <c r="D9" s="5" t="inlineStr">
        <is>
          <t>可执行性强，但需要防止内容生产挤占产品迭代和交付。</t>
        </is>
      </c>
      <c r="E9" s="5" t="inlineStr">
        <is>
          <t>每日至少保留 30 分钟给产品、成交和客户跟进。</t>
        </is>
      </c>
      <c r="F9" s="5" t="inlineStr">
        <is>
          <t>高</t>
        </is>
      </c>
    </row>
    <row r="10">
      <c r="A10" s="5" t="inlineStr">
        <is>
          <t>七</t>
        </is>
      </c>
      <c r="B10" s="5" t="inlineStr">
        <is>
          <t>获客与转化话术，行 936-1002</t>
        </is>
      </c>
      <c r="C10" s="5" t="inlineStr">
        <is>
          <t>冷启动私信、评论区互动、客户沟通和推荐话术。</t>
        </is>
      </c>
      <c r="D10" s="5" t="inlineStr">
        <is>
          <t>话术丰富，但仍需用真实回复率验证。</t>
        </is>
      </c>
      <c r="E10" s="5" t="inlineStr">
        <is>
          <t>先测 3 套私信话术，只保留咨询率最高的一套。</t>
        </is>
      </c>
      <c r="F10" s="5" t="inlineStr">
        <is>
          <t>高</t>
        </is>
      </c>
    </row>
    <row r="11">
      <c r="A11" s="5" t="inlineStr">
        <is>
          <t>八</t>
        </is>
      </c>
      <c r="B11" s="5" t="inlineStr">
        <is>
          <t>工具与费用，行 1003-1043</t>
        </is>
      </c>
      <c r="C11" s="5" t="inlineStr">
        <is>
          <t>首月工具费用可控在 300 元内，后续再采购高阶工具。</t>
        </is>
      </c>
      <c r="D11" s="5" t="inlineStr">
        <is>
          <t>与低成本验证策略一致；最大隐性成本是时间。</t>
        </is>
      </c>
      <c r="E11" s="5" t="inlineStr">
        <is>
          <t>按单位经济模型跟踪工具费和营销费，不做非必要订阅。</t>
        </is>
      </c>
      <c r="F11" s="5" t="inlineStr">
        <is>
          <t>中</t>
        </is>
      </c>
    </row>
    <row r="12">
      <c r="A12" s="5" t="inlineStr">
        <is>
          <t>九</t>
        </is>
      </c>
      <c r="B12" s="5" t="inlineStr">
        <is>
          <t>风险与合规，行 1044-1087</t>
        </is>
      </c>
      <c r="C12" s="5" t="inlineStr">
        <is>
          <t>五类运营风险、营业执照、税务、版权、平台红线。</t>
        </is>
      </c>
      <c r="D12" s="5" t="inlineStr">
        <is>
          <t>风险识别较全，但缺少严重度和触发动作。</t>
        </is>
      </c>
      <c r="E12" s="5" t="inlineStr">
        <is>
          <t>转为概率×影响矩阵，并设置负责人和复核日期。</t>
        </is>
      </c>
      <c r="F12" s="5" t="inlineStr">
        <is>
          <t>高</t>
        </is>
      </c>
    </row>
    <row r="13">
      <c r="A13" s="5" t="inlineStr">
        <is>
          <t>十</t>
        </is>
      </c>
      <c r="B13" s="5" t="inlineStr">
        <is>
          <t>里程碑与后续，行 1088-1134</t>
        </is>
      </c>
      <c r="C13" s="5" t="inlineStr">
        <is>
          <t>Day 3/7/14/21/30 指标，涨价、上新、自动化和全职判断标准。</t>
        </is>
      </c>
      <c r="D13" s="5" t="inlineStr">
        <is>
          <t>里程碑方向正确，但规模化需要至少 2-3 个月数据。</t>
        </is>
      </c>
      <c r="E13" s="5" t="inlineStr">
        <is>
          <t>首月只决定是否继续验证；涨价和扩品以连续出单为前提。</t>
        </is>
      </c>
      <c r="F13" s="5" t="inlineStr">
        <is>
          <t>高</t>
        </is>
      </c>
    </row>
  </sheetData>
  <autoFilter ref="A3:F13"/>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showGridLines="0" workbookViewId="0">
      <pane ySplit="3" topLeftCell="A4" activePane="bottomLeft" state="frozen"/>
      <selection pane="bottomLeft" activeCell="A1" sqref="A1"/>
    </sheetView>
  </sheetViews>
  <sheetFormatPr baseColWidth="8" defaultRowHeight="15"/>
  <cols>
    <col width="24" customWidth="1" min="1" max="1"/>
    <col width="20" customWidth="1" min="2" max="2"/>
    <col width="34" customWidth="1" min="3" max="3"/>
    <col width="14" customWidth="1" min="4" max="4"/>
    <col width="16" customWidth="1" min="5" max="5"/>
    <col width="34" customWidth="1" min="6" max="6"/>
    <col width="14" customWidth="1" min="7" max="7"/>
  </cols>
  <sheetData>
    <row r="1" ht="32" customHeight="1">
      <c r="A1" s="1" t="inlineStr">
        <is>
          <t>14 假设与数据来源</t>
        </is>
      </c>
    </row>
    <row r="2" ht="30" customHeight="1">
      <c r="A2" s="2" t="inlineStr">
        <is>
          <t>明确区分原手册事实、顾问推断和待验证假设，避免把估值当结论。</t>
        </is>
      </c>
    </row>
    <row r="3" ht="28" customHeight="1">
      <c r="A3" s="3" t="inlineStr">
        <is>
          <t>项目</t>
        </is>
      </c>
      <c r="B3" s="3" t="inlineStr">
        <is>
          <t>类型</t>
        </is>
      </c>
      <c r="C3" s="3" t="inlineStr">
        <is>
          <t>内容</t>
        </is>
      </c>
      <c r="D3" s="3" t="inlineStr">
        <is>
          <t>置信度</t>
        </is>
      </c>
      <c r="E3" s="3" t="inlineStr">
        <is>
          <t>影响范围</t>
        </is>
      </c>
      <c r="F3" s="3" t="inlineStr">
        <is>
          <t>验证方法</t>
        </is>
      </c>
      <c r="G3" s="3" t="inlineStr">
        <is>
          <t>复核时间</t>
        </is>
      </c>
    </row>
    <row r="4">
      <c r="A4" s="5" t="inlineStr">
        <is>
          <t>预算上限</t>
        </is>
      </c>
      <c r="B4" s="5" t="inlineStr">
        <is>
          <t>原手册事实</t>
        </is>
      </c>
      <c r="C4" s="5" t="inlineStr">
        <is>
          <t>总预算 ≤1000 元，第 1 周控制在 100-300 元。</t>
        </is>
      </c>
      <c r="D4" s="5" t="inlineStr">
        <is>
          <t>高</t>
        </is>
      </c>
      <c r="E4" s="5" t="inlineStr">
        <is>
          <t>成本控制</t>
        </is>
      </c>
      <c r="F4" s="5" t="inlineStr">
        <is>
          <t>记录每周实际支出</t>
        </is>
      </c>
      <c r="G4" s="5" t="inlineStr">
        <is>
          <t>每周日</t>
        </is>
      </c>
    </row>
    <row r="5">
      <c r="A5" s="5" t="inlineStr">
        <is>
          <t>首月目标</t>
        </is>
      </c>
      <c r="B5" s="5" t="inlineStr">
        <is>
          <t>原手册事实</t>
        </is>
      </c>
      <c r="C5" s="5" t="inlineStr">
        <is>
          <t>30 天卖出第一单，最低里程碑为 3 单和 1 个订阅。</t>
        </is>
      </c>
      <c r="D5" s="5" t="inlineStr">
        <is>
          <t>高</t>
        </is>
      </c>
      <c r="E5" s="5" t="inlineStr">
        <is>
          <t>验收目标</t>
        </is>
      </c>
      <c r="F5" s="5" t="inlineStr">
        <is>
          <t>指标看板每日更新</t>
        </is>
      </c>
      <c r="G5" s="5" t="inlineStr">
        <is>
          <t>每日</t>
        </is>
      </c>
    </row>
    <row r="6">
      <c r="A6" s="5" t="inlineStr">
        <is>
          <t>价格带</t>
        </is>
      </c>
      <c r="B6" s="5" t="inlineStr">
        <is>
          <t>原手册事实</t>
        </is>
      </c>
      <c r="C6" s="5" t="inlineStr">
        <is>
          <t>9.9 元引流、19.9-69 元标准、99-199 元 SOP、29.9 元订阅。</t>
        </is>
      </c>
      <c r="D6" s="5" t="inlineStr">
        <is>
          <t>高</t>
        </is>
      </c>
      <c r="E6" s="5" t="inlineStr">
        <is>
          <t>定价</t>
        </is>
      </c>
      <c r="F6" s="5" t="inlineStr">
        <is>
          <t>按真实成交价修正</t>
        </is>
      </c>
      <c r="G6" s="5" t="inlineStr">
        <is>
          <t>首单后</t>
        </is>
      </c>
    </row>
    <row r="7">
      <c r="A7" s="5" t="inlineStr">
        <is>
          <t>平台抽佣</t>
        </is>
      </c>
      <c r="B7" s="5" t="inlineStr">
        <is>
          <t>待验证</t>
        </is>
      </c>
      <c r="C7" s="5" t="inlineStr">
        <is>
          <t>原手册仅标注 3%-10%，单位经济暂按 6% 估算。</t>
        </is>
      </c>
      <c r="D7" s="5" t="inlineStr">
        <is>
          <t>中</t>
        </is>
      </c>
      <c r="E7" s="5" t="inlineStr">
        <is>
          <t>毛利润</t>
        </is>
      </c>
      <c r="F7" s="5" t="inlineStr">
        <is>
          <t>注册后核对实际费率</t>
        </is>
      </c>
      <c r="G7" s="5" t="inlineStr">
        <is>
          <t>上架前</t>
        </is>
      </c>
    </row>
    <row r="8">
      <c r="A8" s="5" t="inlineStr">
        <is>
          <t>退款率</t>
        </is>
      </c>
      <c r="B8" s="5" t="inlineStr">
        <is>
          <t>顾问假设</t>
        </is>
      </c>
      <c r="C8" s="5" t="inlineStr">
        <is>
          <t>首月按 5% 估算，代做服务可能更高。</t>
        </is>
      </c>
      <c r="D8" s="5" t="inlineStr">
        <is>
          <t>中</t>
        </is>
      </c>
      <c r="E8" s="5" t="inlineStr">
        <is>
          <t>净收入</t>
        </is>
      </c>
      <c r="F8" s="5" t="inlineStr">
        <is>
          <t>记录退款原因和比例</t>
        </is>
      </c>
      <c r="G8" s="5" t="inlineStr">
        <is>
          <t>每周</t>
        </is>
      </c>
    </row>
    <row r="9">
      <c r="A9" s="5" t="inlineStr">
        <is>
          <t>自然流量</t>
        </is>
      </c>
      <c r="B9" s="5" t="inlineStr">
        <is>
          <t>顾问假设</t>
        </is>
      </c>
      <c r="C9" s="5" t="inlineStr">
        <is>
          <t>基准 3000 次曝光、8% 主页点击、20% 咨询、15% 成交。</t>
        </is>
      </c>
      <c r="D9" s="5" t="inlineStr">
        <is>
          <t>低</t>
        </is>
      </c>
      <c r="E9" s="5" t="inlineStr">
        <is>
          <t>订单预测</t>
        </is>
      </c>
      <c r="F9" s="5" t="inlineStr">
        <is>
          <t>用 30 天真实数据替换</t>
        </is>
      </c>
      <c r="G9" s="5" t="inlineStr">
        <is>
          <t>Day 30</t>
        </is>
      </c>
    </row>
    <row r="10">
      <c r="A10" s="5" t="inlineStr">
        <is>
          <t>履约成本</t>
        </is>
      </c>
      <c r="B10" s="5" t="inlineStr">
        <is>
          <t>顾问假设</t>
        </is>
      </c>
      <c r="C10" s="5" t="inlineStr">
        <is>
          <t>数字品 0.5 元/单，代做 25 元/单。</t>
        </is>
      </c>
      <c r="D10" s="5" t="inlineStr">
        <is>
          <t>中</t>
        </is>
      </c>
      <c r="E10" s="5" t="inlineStr">
        <is>
          <t>贡献利润</t>
        </is>
      </c>
      <c r="F10" s="5" t="inlineStr">
        <is>
          <t>按交付耗时重算</t>
        </is>
      </c>
      <c r="G10" s="5" t="inlineStr">
        <is>
          <t>每周</t>
        </is>
      </c>
    </row>
    <row r="11">
      <c r="A11" s="5" t="inlineStr">
        <is>
          <t>工具成本</t>
        </is>
      </c>
      <c r="B11" s="5" t="inlineStr">
        <is>
          <t>顾问假设</t>
        </is>
      </c>
      <c r="C11" s="5" t="inlineStr">
        <is>
          <t>基准 200 元/月，进取 300 元/月。</t>
        </is>
      </c>
      <c r="D11" s="5" t="inlineStr">
        <is>
          <t>中</t>
        </is>
      </c>
      <c r="E11" s="5" t="inlineStr">
        <is>
          <t>现金流</t>
        </is>
      </c>
      <c r="F11" s="5" t="inlineStr">
        <is>
          <t>与费用总表对账</t>
        </is>
      </c>
      <c r="G11" s="5" t="inlineStr">
        <is>
          <t>每周</t>
        </is>
      </c>
    </row>
    <row r="12">
      <c r="A12" s="5" t="inlineStr">
        <is>
          <t>复购系数</t>
        </is>
      </c>
      <c r="B12" s="5" t="inlineStr">
        <is>
          <t>顾问假设</t>
        </is>
      </c>
      <c r="C12" s="5" t="inlineStr">
        <is>
          <t>基准 1.35，用于 LTV 估算，不等于已实现复购。</t>
        </is>
      </c>
      <c r="D12" s="5" t="inlineStr">
        <is>
          <t>低</t>
        </is>
      </c>
      <c r="E12" s="5" t="inlineStr">
        <is>
          <t>LTV</t>
        </is>
      </c>
      <c r="F12" s="5" t="inlineStr">
        <is>
          <t>达到 5 个付费用户后验证</t>
        </is>
      </c>
      <c r="G12" s="5" t="inlineStr">
        <is>
          <t>第 2 个月</t>
        </is>
      </c>
    </row>
    <row r="13">
      <c r="A13" s="5" t="inlineStr">
        <is>
          <t>CAC</t>
        </is>
      </c>
      <c r="B13" s="5" t="inlineStr">
        <is>
          <t>顾问假设</t>
        </is>
      </c>
      <c r="C13" s="5" t="inlineStr">
        <is>
          <t>自然流量按营销费用/订单估算，不含创业者时间成本。</t>
        </is>
      </c>
      <c r="D13" s="5" t="inlineStr">
        <is>
          <t>中</t>
        </is>
      </c>
      <c r="E13" s="5" t="inlineStr">
        <is>
          <t>投放判断</t>
        </is>
      </c>
      <c r="F13" s="5" t="inlineStr">
        <is>
          <t>加入时间成本做二次核算</t>
        </is>
      </c>
      <c r="G13" s="5" t="inlineStr">
        <is>
          <t>Day 30</t>
        </is>
      </c>
    </row>
    <row r="14">
      <c r="A14" s="5" t="inlineStr">
        <is>
          <t>市场与币种</t>
        </is>
      </c>
      <c r="B14" s="5" t="inlineStr">
        <is>
          <t>已确认口径</t>
        </is>
      </c>
      <c r="C14" s="5" t="inlineStr">
        <is>
          <t>中国大陆市场，人民币，创业者自用。</t>
        </is>
      </c>
      <c r="D14" s="5" t="inlineStr">
        <is>
          <t>高</t>
        </is>
      </c>
      <c r="E14" s="5" t="inlineStr">
        <is>
          <t>全部财务表</t>
        </is>
      </c>
      <c r="F14" s="5" t="inlineStr">
        <is>
          <t>不需要调整</t>
        </is>
      </c>
      <c r="G14" s="5" t="inlineStr">
        <is>
          <t>固定</t>
        </is>
      </c>
    </row>
    <row r="15">
      <c r="A15" s="5" t="inlineStr">
        <is>
          <t>不承诺销量</t>
        </is>
      </c>
      <c r="B15" s="5" t="inlineStr">
        <is>
          <t>原手册事实与合规要求</t>
        </is>
      </c>
      <c r="C15" s="5" t="inlineStr">
        <is>
          <t>手册明确不承诺爆款和具体销量。</t>
        </is>
      </c>
      <c r="D15" s="5" t="inlineStr">
        <is>
          <t>高</t>
        </is>
      </c>
      <c r="E15" s="5" t="inlineStr">
        <is>
          <t>营销合规</t>
        </is>
      </c>
      <c r="F15" s="5" t="inlineStr">
        <is>
          <t>详情页和话术逐条检查</t>
        </is>
      </c>
      <c r="G15" s="5" t="inlineStr">
        <is>
          <t>每次发布</t>
        </is>
      </c>
    </row>
  </sheetData>
  <autoFilter ref="A3:G15"/>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 商业模式分析</dc:creator>
  <dc:title xmlns:dc="http://purl.org/dc/elements/1.1/">AI 数字产品小店商业模式分析与从零到一执行工作簿</dc:title>
  <dc:description xmlns:dc="http://purl.org/dc/elements/1.1/">基于 ai-digital-product-30day-playbook.html 的结构化分析，包含三情景公式模型。</dc:description>
  <dc:subject xmlns:dc="http://purl.org/dc/elements/1.1/">人民币、中国市场、创业者自用的顾问决策版</dc:subject>
  <dcterms:created xmlns:dcterms="http://purl.org/dc/terms/" xmlns:xsi="http://www.w3.org/2001/XMLSchema-instance" xsi:type="dcterms:W3CDTF">2026-09-15T09:25:31Z</dcterms:created>
  <dcterms:modified xmlns:dcterms="http://purl.org/dc/terms/" xmlns:xsi="http://www.w3.org/2001/XMLSchema-instance" xsi:type="dcterms:W3CDTF">2026-09-15T09:25:31Z</dcterms:modified>
</cp:coreProperties>
</file>